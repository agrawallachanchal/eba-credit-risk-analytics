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Requirements" sheetId="3" state="visible" r:id="rId5"/>
    <sheet name="Bank Inputs" sheetId="4" state="visible" r:id="rId6"/>
    <sheet name="Stress" sheetId="5" state="visible" r:id="rId7"/>
    <sheet name="Summary" sheetId="6" state="visible" r:id="rId8"/>
    <sheet name="Sensitivity" sheetId="7" state="visible" r:id="rId9"/>
    <sheet name="Not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<sst xmlns="http://schemas.openxmlformats.org/spreadsheetml/2006/main" count="414" uniqueCount="267">
  <si>
    <t xml:space="preserve">EBA Credit Risk Stress Model</t>
  </si>
  <si>
    <t xml:space="preserve">NPE-shock stress test of CET1 headroom, 11 EU banks, reference date 30 June 2025</t>
  </si>
  <si>
    <t xml:space="preserve">Purpose</t>
  </si>
  <si>
    <t xml:space="preserve">Estimates how far each bank's CET1 ratio sits above its own CET1 requirement (MDA trigger) after a rise in non-performing exposures consistent with the ECB 2025 stress test paths. Headline = instant loss absorption by June 2025 capital (A19); a second layer adds earnings under EBA tax and payout rules.</t>
  </si>
  <si>
    <t xml:space="preserve">Data</t>
  </si>
  <si>
    <t xml:space="preserve">EBA 2025 EU-wide Transparency Exercise, reference period 202506 (tr_cre.csv, tr_oth.csv). Inputs are produced by query Q33 in queries.sql. Amounts in EUR millions.</t>
  </si>
  <si>
    <t xml:space="preserve">Units</t>
  </si>
  <si>
    <t xml:space="preserve">Amounts EUR mn. Ratios and shocks stored as fractions and shown as percentages. 'pp' = percentage points of RWA.</t>
  </si>
  <si>
    <t xml:space="preserve">Sheets</t>
  </si>
  <si>
    <t xml:space="preserve">Assumptions → Requirements → Bank Inputs → Stress (four scenarios) → Summary → Sensitivity → Notes.</t>
  </si>
  <si>
    <t xml:space="preserve">Colour code</t>
  </si>
  <si>
    <t xml:space="preserve">Blue text = hard-coded input or source data. Black = formula. Green = link to another sheet. Yellow fill = key assumption that drives results.</t>
  </si>
  <si>
    <t xml:space="preserve">How to use</t>
  </si>
  <si>
    <t xml:space="preserve">Change only blue cells on Assumptions (yellow-filled levers) or Requirements. All other cells recalculate.</t>
  </si>
  <si>
    <t xml:space="preserve">Scope</t>
  </si>
  <si>
    <t xml:space="preserve">9 core banks plus Morgan Stanley Europe Holding SE are 'Core'. Revolut is a fintech reference case shown separately and excluded from medians. Kommuninvest is kept on Bank Inputs for reference but excluded from the stress run (see A14).</t>
  </si>
  <si>
    <t xml:space="preserve">Status</t>
  </si>
  <si>
    <t xml:space="preserve">Educational analysis of public data. Not investment advice and not a supervisory result.</t>
  </si>
  <si>
    <t xml:space="preserve">Assumptions register</t>
  </si>
  <si>
    <t xml:space="preserve">ID</t>
  </si>
  <si>
    <t xml:space="preserve">Assumption</t>
  </si>
  <si>
    <t xml:space="preserve">Value</t>
  </si>
  <si>
    <t xml:space="preserve">Source / rationale</t>
  </si>
  <si>
    <t xml:space="preserve">A1</t>
  </si>
  <si>
    <t xml:space="preserve">NPE shock, 1-year baseline (pp of gross loans)</t>
  </si>
  <si>
    <t xml:space="preserve">Read from ECB report Chart 3.7 'NPE ratio at system level' (p. 27) by pixel measurement, calibrated to the published start (1.7%, end-2024) and adverse end-point (5.8%, end-2027, p. 26). Reading precision about ±0.1 pp; the Sensitivity sheet tests ±0.3 pp. Baseline path ≈ 2.5% at end-2025 vs 1.7% start.</t>
  </si>
  <si>
    <t xml:space="preserve">A2</t>
  </si>
  <si>
    <t xml:space="preserve">NPE shock, 1-year adverse</t>
  </si>
  <si>
    <t xml:space="preserve">Read from ECB report Chart 3.7 'NPE ratio at system level' (p. 27) by pixel measurement, calibrated to the published start (1.7%, end-2024) and adverse end-point (5.8%, end-2027, p. 26). Reading precision about ±0.1 pp; the Sensitivity sheet tests ±0.3 pp. Adverse path ≈ 2.9% at end-2025 vs 1.7% start.</t>
  </si>
  <si>
    <t xml:space="preserve">A3</t>
  </si>
  <si>
    <t xml:space="preserve">NPE shock, 3-year baseline</t>
  </si>
  <si>
    <t xml:space="preserve">Read from ECB report Chart 3.7 'NPE ratio at system level' (p. 27) by pixel measurement, calibrated to the published start (1.7%, end-2024) and adverse end-point (5.8%, end-2027, p. 26). Reading precision about ±0.1 pp; the Sensitivity sheet tests ±0.3 pp. Baseline path ≈ 4.1% at end-2027 vs 1.7% start.</t>
  </si>
  <si>
    <t xml:space="preserve">A4</t>
  </si>
  <si>
    <t xml:space="preserve">NPE shock, 3-year adverse</t>
  </si>
  <si>
    <t xml:space="preserve">ECB report p. 26: 'banks project a steady increase in the NPE ratio to 5.8% at the end of 2027' from 1.7%. ECB (2025) 2025 stress test of euro area banks – Final results, https://www.bankingsupervision.europa.eu/ecb/pub/pdf/ssm.Report_2025_Stress_Test_202508.en.pdf</t>
  </si>
  <si>
    <t xml:space="preserve">A5</t>
  </si>
  <si>
    <t xml:space="preserve">Shock base</t>
  </si>
  <si>
    <t xml:space="preserve">Gross loans (performing + non-performing)</t>
  </si>
  <si>
    <t xml:space="preserve">Item 2520603, Perf_Status 1+2. The shock moves the NPE ratio by the stated pp, so it applies to the whole gross book. Same uniform system shock for every bank (see Notes, limitation L3).</t>
  </si>
  <si>
    <t xml:space="preserve">A6</t>
  </si>
  <si>
    <t xml:space="preserve">Provisioning of new NPE</t>
  </si>
  <si>
    <t xml:space="preserve">Bank's own current NPE coverage</t>
  </si>
  <si>
    <t xml:space="preserve">Coverage = item 2520613 ÷ item 2520603 (Perf_Status 2). New NPE assumed provisioned at the bank's current rate.</t>
  </si>
  <si>
    <t xml:space="preserve">A7</t>
  </si>
  <si>
    <t xml:space="preserve">RWA</t>
  </si>
  <si>
    <t xml:space="preserve">Held constant</t>
  </si>
  <si>
    <t xml:space="preserve">ECB 2025 adverse result: net CET1 depletion 4.0 pp, of which risk exposure amount growth 1.1 pp and loan losses 5.0 pp. Holding RWA constant isolates the credit-loss channel; it understates depletion (Notes, L2). ECB (2025) 2025 stress test of euro area banks – Final results, https://www.bankingsupervision.europa.eu/ecb/pub/pdf/ssm.Report_2025_Stress_Test_202508.en.pdf</t>
  </si>
  <si>
    <t xml:space="preserve">A8</t>
  </si>
  <si>
    <t xml:space="preserve">Balance sheet</t>
  </si>
  <si>
    <t xml:space="preserve">Static</t>
  </si>
  <si>
    <t xml:space="preserve">Mirrors the static balance sheet assumption of the EBA/ECB exercise. EBA (2024) 2025 EU-wide stress test – Methodological note, https://www.eba.europa.eu/sites/default/files/2024-11/ee01efca-947b-43ae-b17d-20f9d4314e8e/2025%20EU-wide%20stress%20test%20-%20Methodological%20Note.pdf</t>
  </si>
  <si>
    <t xml:space="preserve">A9</t>
  </si>
  <si>
    <t xml:space="preserve">Annualisation factor for H1 profit</t>
  </si>
  <si>
    <t xml:space="preserve">Profit items at 202506 are half-year cumulative (n_quarters = 2).</t>
  </si>
  <si>
    <t xml:space="preserve">A10</t>
  </si>
  <si>
    <t xml:space="preserve">Earnings capacity per year</t>
  </si>
  <si>
    <t xml:space="preserve">Annualised profit before tax</t>
  </si>
  <si>
    <t xml:space="preserve">Item 2520332 × A9. Profit before tax already carries the bank's ongoing impairment charge, so only the shock-driven provisions are added on top (avoids double counting).</t>
  </si>
  <si>
    <t xml:space="preserve">A11</t>
  </si>
  <si>
    <t xml:space="preserve">Tax rate on positive pre-tax result</t>
  </si>
  <si>
    <t xml:space="preserve">EBA methodological note, para. 32 (section 1.3.7): 'common simplified tax rate of 30%'. EBA (2024) 2025 EU-wide stress test – Methodological note, https://www.eba.europa.eu/sites/default/files/2024-11/ee01efca-947b-43ae-b17d-20f9d4314e8e/2025%20EU-wide%20stress%20test%20-%20Methodological%20Note.pdf</t>
  </si>
  <si>
    <t xml:space="preserve">A12</t>
  </si>
  <si>
    <t xml:space="preserve">Tax on losses</t>
  </si>
  <si>
    <t xml:space="preserve">No tax credit</t>
  </si>
  <si>
    <t xml:space="preserve">Deferred tax assets arising from tax losses rely on future profitability and are deducted from CET1 (CRR Art. 36(1)(c)), so a loss reduces CET1 in full.</t>
  </si>
  <si>
    <t xml:space="preserve">A13</t>
  </si>
  <si>
    <t xml:space="preserve">Payout ratio in profit years</t>
  </si>
  <si>
    <t xml:space="preserve">EBA methodological note, Table 1 (section 1.3.12): baseline payout = declared policy, else max(30%, median 2020–24); same in adverse; 0% accepted in loss years. 2020–24 payouts are not in the data, so the 30% floor is used for every bank (Notes, L5).</t>
  </si>
  <si>
    <t xml:space="preserve">A14</t>
  </si>
  <si>
    <t xml:space="preserve">Payout ratio in loss years</t>
  </si>
  <si>
    <t xml:space="preserve">EBA methodological note, Table 1: zero payout accepted in loss years.</t>
  </si>
  <si>
    <t xml:space="preserve">A15</t>
  </si>
  <si>
    <t xml:space="preserve">CET1 requirement</t>
  </si>
  <si>
    <t xml:space="preserve">Per-bank published requirement</t>
  </si>
  <si>
    <t xml:space="preserve">See Requirements sheet: bank SREP announcements or Pillar 3 EU KM1; CEC Bank uses a labelled fallback formula.</t>
  </si>
  <si>
    <t xml:space="preserve">A16</t>
  </si>
  <si>
    <t xml:space="preserve">Kommuninvest</t>
  </si>
  <si>
    <t xml:space="preserve">Excluded from stress run</t>
  </si>
  <si>
    <t xml:space="preserve">Lends only to Swedish municipalities and regions (public-sector, 'low default' exposure). Its NPE stock is zero. ECB report (text under Chart 3.8): exposures to central banks, governments and financial institutions are 32% of exposures but about 6% of impairments as they are 'low default'.</t>
  </si>
  <si>
    <t xml:space="preserve">A17</t>
  </si>
  <si>
    <t xml:space="preserve">Revolut</t>
  </si>
  <si>
    <t xml:space="preserve">Reference case</t>
  </si>
  <si>
    <t xml:space="preserve">Fintech business model; reported on its own line and excluded from the core median.</t>
  </si>
  <si>
    <t xml:space="preserve">A18</t>
  </si>
  <si>
    <t xml:space="preserve">Horizon</t>
  </si>
  <si>
    <t xml:space="preserve">Single-period end state</t>
  </si>
  <si>
    <t xml:space="preserve">Provisions assumed spread evenly over the horizon, so annual and cumulative net results have the same sign; the payout rule can be applied to the cumulative result.</t>
  </si>
  <si>
    <t xml:space="preserve">A19</t>
  </si>
  <si>
    <t xml:space="preserve">Headline view</t>
  </si>
  <si>
    <t xml:space="preserve">Instant loss absorption</t>
  </si>
  <si>
    <t xml:space="preserve">Shock provisions are charged against June 2025 CET1 with no earnings offset. Answers: can today's capital absorb the shock? Chosen as headline because the model does not stress revenues (Notes, L2); crediting run-rate profits would outweigh the credit shock and contradict the ECB result (adverse CET1 depletion 4.0 pp). The earnings offset (A9–A14) is reported as a second layer.</t>
  </si>
  <si>
    <t xml:space="preserve">Scenario table</t>
  </si>
  <si>
    <t xml:space="preserve">Code</t>
  </si>
  <si>
    <t xml:space="preserve">Scenario</t>
  </si>
  <si>
    <t xml:space="preserve">NPE shock</t>
  </si>
  <si>
    <t xml:space="preserve">Horizon (years)</t>
  </si>
  <si>
    <t xml:space="preserve">S1</t>
  </si>
  <si>
    <t xml:space="preserve">1-year baseline</t>
  </si>
  <si>
    <t xml:space="preserve">S2</t>
  </si>
  <si>
    <t xml:space="preserve">1-year adverse</t>
  </si>
  <si>
    <t xml:space="preserve">S3</t>
  </si>
  <si>
    <t xml:space="preserve">3-year baseline</t>
  </si>
  <si>
    <t xml:space="preserve">S4</t>
  </si>
  <si>
    <t xml:space="preserve">3-year adverse</t>
  </si>
  <si>
    <t xml:space="preserve">CET1 requirements (MDA trigger) by bank</t>
  </si>
  <si>
    <t xml:space="preserve">Requirement excludes Pillar 2 Guidance. Values are the banks' own published figures unless marked FALLBACK.</t>
  </si>
  <si>
    <t xml:space="preserve">LEI</t>
  </si>
  <si>
    <t xml:space="preserve">Bank</t>
  </si>
  <si>
    <t xml:space="preserve">Components / basis</t>
  </si>
  <si>
    <t xml:space="preserve">As of</t>
  </si>
  <si>
    <t xml:space="preserve">Source type</t>
  </si>
  <si>
    <t xml:space="preserve">Source URL</t>
  </si>
  <si>
    <t xml:space="preserve">529900S9YO2JHTIIDG38</t>
  </si>
  <si>
    <t xml:space="preserve">BAWAG Group</t>
  </si>
  <si>
    <t xml:space="preserve">CET1 requirement / MDA trigger (P2R 2.50 total)</t>
  </si>
  <si>
    <t xml:space="preserve">2025-06-30</t>
  </si>
  <si>
    <t xml:space="preserve">bank Q2 2025 investor data</t>
  </si>
  <si>
    <t xml:space="preserve">https://www.bawaggroup.com/resource/blob/104376/1acbccbaed725bf9bd662a22aa53747a/bawag-group-q2-2025-credit-update-final-data.pdf</t>
  </si>
  <si>
    <t xml:space="preserve">R0MUWSFPU8MPRO8K5P83</t>
  </si>
  <si>
    <t xml:space="preserve">BNP Paribas</t>
  </si>
  <si>
    <t xml:space="preserve">P1 4.50 + P2R(CET1) 1.14 + CCoB 2.50 + G-SIB 1.50 + CCyB 0.65</t>
  </si>
  <si>
    <t xml:space="preserve">2025-01-01</t>
  </si>
  <si>
    <t xml:space="preserve">bank SREP announcement</t>
  </si>
  <si>
    <t xml:space="preserve">https://invest.bnpparibas/en/document/notification-by-the-ecb-of-the-2024-supervisory-review-and-evaluation-process-srep</t>
  </si>
  <si>
    <t xml:space="preserve">5493006QMFDDMYWIAM13</t>
  </si>
  <si>
    <t xml:space="preserve">Banco Santander</t>
  </si>
  <si>
    <t xml:space="preserve">P1 4.50 + P2R(CET1) 0.98 + CCoB 2.50 + O-SII 1.25 + SyRB 0.04 + CCyB 0.40</t>
  </si>
  <si>
    <t xml:space="preserve">https://www.investegate.co.uk/announcement/rns/banco-santander-s-a---bnc/srep-capital-requirements-2025/8604761</t>
  </si>
  <si>
    <t xml:space="preserve">2138008AVF4W7FMW8W87</t>
  </si>
  <si>
    <t xml:space="preserve">CEC Bank</t>
  </si>
  <si>
    <t xml:space="preserve">FALLBACK: P1 4.50 + P2R(CET1) proxy 1.20 (ECB SSM average) + CCoB 2.50 + CCyB RO 1.00 + O-SII 1.00 + SyRB 2.00 (assumed still applied; last confirmed 2022)</t>
  </si>
  <si>
    <t xml:space="preserve">fallback formula</t>
  </si>
  <si>
    <t xml:space="preserve">https://www.cnsmro.ro/en/informatii-privind-lista-actualizata-a-bancilor-sistemice-si-amortizorul-pentru-alte-institutii-de-importanta-sistemica-amortizorul-o-sii-aplicabil-incepand-cu-1-aprilie-2025/</t>
  </si>
  <si>
    <t xml:space="preserve">851WYGNLUQLFZBSYGB56</t>
  </si>
  <si>
    <t xml:space="preserve">Commerzbank</t>
  </si>
  <si>
    <t xml:space="preserve">MDA threshold: P1 4.50 + P2R(CET1) 1.27 + CCoB 2.50 + O-SII 1.25 + CCyB 0.66 + SyRB 0.10 + AT1 shortfall 0.04</t>
  </si>
  <si>
    <t xml:space="preserve">2025-01-01 (pro forma at 2024-09-30)</t>
  </si>
  <si>
    <t xml:space="preserve">https://www.commerzbank.de/group/newsroom/press-releases/srep-2.html</t>
  </si>
  <si>
    <t xml:space="preserve">7LTWFZYICNSX8D621K86</t>
  </si>
  <si>
    <t xml:space="preserve">Deutsche Bank</t>
  </si>
  <si>
    <t xml:space="preserve">P1 4.50 + P2R(CET1) 1.63 + CCoB 2.50 + CCyB 0.48 + SyRB 0.13 + max(G-SII 1.50; O-SII 2.00)</t>
  </si>
  <si>
    <t xml:space="preserve">Pillar 3 EU KM1</t>
  </si>
  <si>
    <t xml:space="preserve">https://investor-relations.db.com/files/documents/regulatory-reporting/2025/Pillar-3-Report-2Q2025.pdf</t>
  </si>
  <si>
    <t xml:space="preserve">FR969500TJ5KRTCJQWXH</t>
  </si>
  <si>
    <t xml:space="preserve">Groupe Crédit Agricole</t>
  </si>
  <si>
    <t xml:space="preserve">P1 4.50 + P2R(CET1) + CCoB 2.50 + G-SIB 1.00 + CCyB ~0.77 + SyRB ~0.05 (P2R 1.80 total)</t>
  </si>
  <si>
    <t xml:space="preserve">https://mfn.se/one/a/credit-agricole/credit-agricole-sa-capital-notification-of-the-level-of-pillar-2-additional-requirement-009ecd29</t>
  </si>
  <si>
    <t xml:space="preserve">F0HUI1NY1AZMJMD8LP67</t>
  </si>
  <si>
    <t xml:space="preserve">HSBC Continental Europe</t>
  </si>
  <si>
    <t xml:space="preserve">Stated CET1 requirement excl. P2G (KM1: P2R(CET1) 1.5 + CBR 3.6)</t>
  </si>
  <si>
    <t xml:space="preserve">https://echanges.dila.gouv.fr/OPENDATA/AMF/305/2025/09/FC305595282_20250905.pdf</t>
  </si>
  <si>
    <t xml:space="preserve">549300NYKK9MWM7GGW15</t>
  </si>
  <si>
    <t xml:space="preserve">ING Groep</t>
  </si>
  <si>
    <t xml:space="preserve">Fully loaded CET1 requirement incl. CCyB 0.94 and P2R 1.65 (total)</t>
  </si>
  <si>
    <t xml:space="preserve">https://ing.com/news/2024/12/ing-group-2024-srep-process-completed-1.html</t>
  </si>
  <si>
    <t xml:space="preserve">549300C9KPZR0VZ16R05</t>
  </si>
  <si>
    <t xml:space="preserve">Morgan Stanley Europe Holding SE</t>
  </si>
  <si>
    <t xml:space="preserve">P1 4.50 + P2R(CET1) 1.41 + CCoB 2.50 + CCyB 0.90 + O-SII 0.25</t>
  </si>
  <si>
    <t xml:space="preserve">https://www.morganstanley.com/content/dam/msdotcom/en/about-us-ir/pillar3/MSEHSE_Pillar_3_Disclosure_Report_30_June_2025_English.pdf</t>
  </si>
  <si>
    <t xml:space="preserve">485100FX5Y9YLAQLNP12</t>
  </si>
  <si>
    <t xml:space="preserve">Revolut Holdings Europe</t>
  </si>
  <si>
    <t xml:space="preserve">P1 4.50 + P2R(CET1) 2.08 + CCoB 2.50 + CCyB 0.89</t>
  </si>
  <si>
    <t xml:space="preserve">https://assets.revolut.com/pdf/Capital_Adequacy_Risk_management_RHE_Q2_2025</t>
  </si>
  <si>
    <t xml:space="preserve">Bank inputs, EBA Transparency Exercise 2025, period 202506 (EUR mn)</t>
  </si>
  <si>
    <t xml:space="preserve">Source query: query Q33 in queries.sql. Items: 2521010, 2520138, 2520102, 2520140 (oth); 2520603 Perf_Status 1/2 and 2520613 Perf_Status 2 (credit); 2520332, 2520333 (oth, H1 cumulative).</t>
  </si>
  <si>
    <t xml:space="preserve">Role</t>
  </si>
  <si>
    <t xml:space="preserve">Total assets</t>
  </si>
  <si>
    <t xml:space="preserve">CET1 capital</t>
  </si>
  <si>
    <t xml:space="preserve">CET1 ratio (reported)</t>
  </si>
  <si>
    <t xml:space="preserve">Performing loans</t>
  </si>
  <si>
    <t xml:space="preserve">Non-performing loans</t>
  </si>
  <si>
    <t xml:space="preserve">Gross loans</t>
  </si>
  <si>
    <t xml:space="preserve">NPE provisions</t>
  </si>
  <si>
    <t xml:space="preserve">NPE ratio</t>
  </si>
  <si>
    <t xml:space="preserve">NPE coverage</t>
  </si>
  <si>
    <t xml:space="preserve">Profit before tax H1</t>
  </si>
  <si>
    <t xml:space="preserve">Profit after tax H1</t>
  </si>
  <si>
    <t xml:space="preserve">Annual profit before tax</t>
  </si>
  <si>
    <t xml:space="preserve">Effective tax rate (info)</t>
  </si>
  <si>
    <t xml:space="preserve">CET1 ratio check</t>
  </si>
  <si>
    <t xml:space="preserve">Headroom today</t>
  </si>
  <si>
    <t xml:space="preserve">Core</t>
  </si>
  <si>
    <t xml:space="preserve">EV2XZWMLLXF2QRX0CD47</t>
  </si>
  <si>
    <t xml:space="preserve">Excluded</t>
  </si>
  <si>
    <t xml:space="preserve">n/a</t>
  </si>
  <si>
    <t xml:space="preserve">Note: Morgan Stanley Europe's coverage rests on EUR 7 mn of NPE, so its coverage estimate is statistically weak (Notes, L7). Kommuninvest coverage is undefined (no NPE).</t>
  </si>
  <si>
    <t xml:space="preserve">Stress results by scenario</t>
  </si>
  <si>
    <t xml:space="preserve">HEADLINE (columns F–K): instant loss absorption, shock provisions charged against June 2025 CET1 with no earnings offset (A19). SECOND LAYER (columns L–S): earnings offset under EBA tax and payout rules; optimistic because revenues are not stressed (Notes, L2).</t>
  </si>
  <si>
    <t xml:space="preserve">S1 · 1-year baseline</t>
  </si>
  <si>
    <t xml:space="preserve">Shock</t>
  </si>
  <si>
    <t xml:space="preserve">Horizon (yrs)</t>
  </si>
  <si>
    <t xml:space="preserve">Stressed NPE ratio</t>
  </si>
  <si>
    <t xml:space="preserve">Incremental NPE</t>
  </si>
  <si>
    <t xml:space="preserve">Incremental provisions</t>
  </si>
  <si>
    <t xml:space="preserve">HEADLINE: Stressed CET1</t>
  </si>
  <si>
    <t xml:space="preserve">Stressed CET1 ratio</t>
  </si>
  <si>
    <t xml:space="preserve">Change in ratio (pp)</t>
  </si>
  <si>
    <t xml:space="preserve">Headroom (pp)</t>
  </si>
  <si>
    <t xml:space="preserve">Below requirement?</t>
  </si>
  <si>
    <t xml:space="preserve">Earnings over horizon</t>
  </si>
  <si>
    <t xml:space="preserve">Pre-tax result</t>
  </si>
  <si>
    <t xml:space="preserve">Tax</t>
  </si>
  <si>
    <t xml:space="preserve">Net result</t>
  </si>
  <si>
    <t xml:space="preserve">Distributions</t>
  </si>
  <si>
    <t xml:space="preserve">Stressed CET1 (with earnings)</t>
  </si>
  <si>
    <t xml:space="preserve">Stressed CET1 ratio (with earnings)</t>
  </si>
  <si>
    <t xml:space="preserve">Headroom with earnings (pp)</t>
  </si>
  <si>
    <t xml:space="preserve">S2 · 1-year adverse</t>
  </si>
  <si>
    <t xml:space="preserve">S3 · 3-year baseline</t>
  </si>
  <si>
    <t xml:space="preserve">S4 · 3-year adverse</t>
  </si>
  <si>
    <t xml:space="preserve">Summary: headroom to CET1 requirement (pp of RWA)</t>
  </si>
  <si>
    <t xml:space="preserve">Negative headroom = stressed CET1 ratio below the bank's requirement (distribution restrictions would apply).</t>
  </si>
  <si>
    <t xml:space="preserve">HEADLINE: instant loss absorption (no earnings offset)</t>
  </si>
  <si>
    <t xml:space="preserve">CET1 ratio today</t>
  </si>
  <si>
    <t xml:space="preserve">Requirement</t>
  </si>
  <si>
    <t xml:space="preserve">S1 1-yr baseline</t>
  </si>
  <si>
    <t xml:space="preserve">S2 1-yr adverse</t>
  </si>
  <si>
    <t xml:space="preserve">S3 3-yr baseline</t>
  </si>
  <si>
    <t xml:space="preserve">S4 3-yr adverse</t>
  </si>
  <si>
    <t xml:space="preserve">Stressed CET1 ratio, S4</t>
  </si>
  <si>
    <t xml:space="preserve">Change in ratio S4 (pp)</t>
  </si>
  <si>
    <t xml:space="preserve">Median, core banks</t>
  </si>
  <si>
    <t xml:space="preserve">Minimum, core banks</t>
  </si>
  <si>
    <t xml:space="preserve">Core banks below requirement</t>
  </si>
  <si>
    <t xml:space="preserve">Core banks with headroom &lt; 1 pp</t>
  </si>
  <si>
    <t xml:space="preserve">SECOND LAYER: with earnings offset (optimistic, revenues not stressed; see Notes L2)</t>
  </si>
  <si>
    <t xml:space="preserve">Benchmark: ECB 2025 adverse aggregate CET1 depletion 4.0 pp over 3 years (all risk types, 96 banks), of which loan losses 5.0 pp, offset by net revenues 4.8 pp. This model captures the credit-loss channel only.</t>
  </si>
  <si>
    <t xml:space="preserve">Sensitivity of 3-year adverse headroom (pp of RWA)</t>
  </si>
  <si>
    <t xml:space="preserve">Each column recomputes the chain with one lever changed; all other assumptions as on the Assumptions sheet.</t>
  </si>
  <si>
    <t xml:space="preserve">Shock step</t>
  </si>
  <si>
    <t xml:space="preserve">Coverage step</t>
  </si>
  <si>
    <t xml:space="preserve">Alt. payout</t>
  </si>
  <si>
    <t xml:space="preserve">HEADLINE view: instant loss absorption</t>
  </si>
  <si>
    <t xml:space="preserve">Base case</t>
  </si>
  <si>
    <t xml:space="preserve">Shock −step</t>
  </si>
  <si>
    <t xml:space="preserve">Shock +step</t>
  </si>
  <si>
    <t xml:space="preserve">Coverage −step</t>
  </si>
  <si>
    <t xml:space="preserve">Coverage +step</t>
  </si>
  <si>
    <t xml:space="preserve">SECOND LAYER: with earnings offset</t>
  </si>
  <si>
    <t xml:space="preserve">Payout 0%</t>
  </si>
  <si>
    <t xml:space="preserve">Payout alt.</t>
  </si>
  <si>
    <t xml:space="preserve">Check: base cases equal Summary S4 (both should be 0)</t>
  </si>
  <si>
    <t xml:space="preserve">Methodology and limitations</t>
  </si>
  <si>
    <t xml:space="preserve">Method</t>
  </si>
  <si>
    <t xml:space="preserve">Headline (instant loss): incremental NPE = shock × gross loans; incremental provisions = incremental NPE × current coverage; stressed CET1 = June 2025 CET1 − provisions (no tax credit, A12); headroom = stressed CET1 ÷ constant RWA − requirement. Second layer (with earnings): pre-tax result = annual profit before tax × horizon − incremental provisions; tax 30% on positive results only; payout 30% of positive net result; stressed CET1 = CET1 + net result − distributions; stressed ratio = stressed CET1 ÷ constant RWA; headroom = stressed ratio − bank's CET1 requirement.</t>
  </si>
  <si>
    <t xml:space="preserve">L1 Credit channel only</t>
  </si>
  <si>
    <t xml:space="preserve">Market, operational and funding risk are not modelled. In the ECB 2025 adverse scenario market risk took 1.3 pp and operational risk roughly 0.6–0.7 pp of CET1. Results here are therefore a partial view and should not be compared one-for-one with supervisory results.</t>
  </si>
  <si>
    <t xml:space="preserve">L2 No revenue stress</t>
  </si>
  <si>
    <t xml:space="preserve">Earnings are held at the H1 2025 run-rate. The ECB adverse scenario cuts NII capacity by 2.6 pp and fee and dividend income by 1.0 pp relative to baseline (ECB report pp. 18–19). Combined with constant RWA (A7), headroom is likely overstated.</t>
  </si>
  <si>
    <t xml:space="preserve">L3 Uniform system shock</t>
  </si>
  <si>
    <t xml:space="preserve">Every bank receives the same pp shock. Actual bank-specific projections differ by portfolio mix and are not published in usable form.</t>
  </si>
  <si>
    <t xml:space="preserve">L4 Shock readings</t>
  </si>
  <si>
    <t xml:space="preserve">Baseline and 1-year shocks are read from ECB Chart 3.7 (precision about ±0.1 pp). The Sensitivity sheet tests ±0.3 pp.</t>
  </si>
  <si>
    <t xml:space="preserve">L5 Payout</t>
  </si>
  <si>
    <t xml:space="preserve">The EBA rule uses declared dividend policies or the 2020–24 median payout; neither is in the dataset, so the 30% floor is applied to all banks. Banks with higher declared payouts would retain less.</t>
  </si>
  <si>
    <t xml:space="preserve">L6 Requirements</t>
  </si>
  <si>
    <t xml:space="preserve">Five requirements are as at 1 Jan 2025, five as at 30 Jun 2025 (mainly countercyclical buffer differences of up to about 0.1 pp). Commerzbank's figure is its published MDA threshold, which includes a 0.04 pp AT1 shortfall. CEC Bank uses a fallback formula including a 2% systemic risk buffer last confirmed for 2022; without it the requirement is 10.2%.</t>
  </si>
  <si>
    <t xml:space="preserve">L7 Small NPE stocks</t>
  </si>
  <si>
    <t xml:space="preserve">Morgan Stanley Europe's coverage is based on EUR 7 mn of NPE and Revolut's on EUR 57 mn; their provisioning rates on a large shock are uncertain. Both also carry risks (market and counterparty; payments and funding) that a loan-loss shock does not capture.</t>
  </si>
  <si>
    <t xml:space="preserve">L8 Single period</t>
  </si>
  <si>
    <t xml:space="preserve">End-state comparison; no year-by-year path, no management actions, no changes in balance sheet size or mix.</t>
  </si>
  <si>
    <t xml:space="preserve">L9 Coverage on new NPE</t>
  </si>
  <si>
    <t xml:space="preserve">New NPE are provisioned at the bank's current coverage. In a downturn, collateral values fall and coverage on new defaults can be higher, so losses are likely understated. With coverage +10 pp, six of ten core banks fall below requirement in S4 instead of three (Sensitivity sheet).</t>
  </si>
  <si>
    <t xml:space="preserve">L10 NPE definition</t>
  </si>
  <si>
    <t xml:space="preserve">The EBA NPE definition (including 'unlikely to pay') is broader than banks' own NPL ratios, so the same pp shock on this base gives a slightly larger loss. It is the same supervisory definition the ECB uses for its NPE path.</t>
  </si>
  <si>
    <t xml:space="preserve">Validation</t>
  </si>
  <si>
    <t xml:space="preserve">Inputs reconcile to the transparency data (CET1 ratio check column on Bank Inputs equals reported ratio). Reported CET1 ratios match the banks' Pillar 3 KM1 for Deutsche Bank, Morgan Stanley Europe, Revolut and HSBC Continental Europe. All outputs recomputed independently outside Excel (METHODOLOGY.md, validation log).</t>
  </si>
</sst>
</file>

<file path=xl/styles.xml><?xml version="1.0" encoding="utf-8"?>
<styleSheet xmlns="http://schemas.openxmlformats.org/spreadsheetml/2006/main">
  <numFmts count="4">
    <numFmt numFmtId="164" formatCode="General"/>
    <numFmt numFmtId="165" formatCode="0.00%;\(0.00%\);\-"/>
    <numFmt numFmtId="166" formatCode="#,##0;\(#,##0\);\-"/>
    <numFmt numFmtId="167"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sz val="10"/>
      <color rgb="FF0000FF"/>
      <name val="Arial"/>
      <family val="0"/>
      <charset val="1"/>
    </font>
    <font>
      <i val="true"/>
      <sz val="9"/>
      <color rgb="FF555555"/>
      <name val="Arial"/>
      <family val="0"/>
      <charset val="1"/>
    </font>
    <font>
      <sz val="10"/>
      <color rgb="FF008000"/>
      <name val="Arial"/>
      <family val="0"/>
      <charset val="1"/>
    </font>
  </fonts>
  <fills count="5">
    <fill>
      <patternFill patternType="none"/>
    </fill>
    <fill>
      <patternFill patternType="gray125"/>
    </fill>
    <fill>
      <patternFill patternType="solid">
        <fgColor rgb="FF1F3A4D"/>
        <bgColor rgb="FF003366"/>
      </patternFill>
    </fill>
    <fill>
      <patternFill patternType="solid">
        <fgColor rgb="FFFFFF00"/>
        <bgColor rgb="FFFFFF00"/>
      </patternFill>
    </fill>
    <fill>
      <patternFill patternType="solid">
        <fgColor rgb="FFE8ED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6" fontId="7" fillId="4"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D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0"/>
  </cols>
  <sheetData>
    <row r="1" customFormat="false" ht="17.25" hidden="false" customHeight="true" outlineLevel="0" collapsed="false">
      <c r="A1" s="2" t="s">
        <v>0</v>
      </c>
    </row>
    <row r="2" customFormat="false" ht="15" hidden="false" customHeight="true" outlineLevel="0" collapsed="false">
      <c r="A2" s="3" t="s">
        <v>1</v>
      </c>
    </row>
    <row r="4" customFormat="false" ht="42" hidden="false" customHeight="true" outlineLevel="0" collapsed="false">
      <c r="A4" s="4" t="s">
        <v>2</v>
      </c>
      <c r="B4" s="5" t="s">
        <v>3</v>
      </c>
    </row>
    <row r="5" customFormat="false" ht="42" hidden="false" customHeight="true" outlineLevel="0" collapsed="false">
      <c r="A5" s="4" t="s">
        <v>4</v>
      </c>
      <c r="B5" s="5" t="s">
        <v>5</v>
      </c>
    </row>
    <row r="6" customFormat="false" ht="42" hidden="false" customHeight="true" outlineLevel="0" collapsed="false">
      <c r="A6" s="4" t="s">
        <v>6</v>
      </c>
      <c r="B6" s="5" t="s">
        <v>7</v>
      </c>
    </row>
    <row r="7" customFormat="false" ht="42" hidden="false" customHeight="true" outlineLevel="0" collapsed="false">
      <c r="A7" s="4" t="s">
        <v>8</v>
      </c>
      <c r="B7" s="5" t="s">
        <v>9</v>
      </c>
    </row>
    <row r="8" customFormat="false" ht="42" hidden="false" customHeight="true" outlineLevel="0" collapsed="false">
      <c r="A8" s="4" t="s">
        <v>10</v>
      </c>
      <c r="B8" s="5" t="s">
        <v>11</v>
      </c>
    </row>
    <row r="9" customFormat="false" ht="42" hidden="false" customHeight="true" outlineLevel="0" collapsed="false">
      <c r="A9" s="4" t="s">
        <v>12</v>
      </c>
      <c r="B9" s="5" t="s">
        <v>13</v>
      </c>
    </row>
    <row r="10" customFormat="false" ht="42" hidden="false" customHeight="true" outlineLevel="0" collapsed="false">
      <c r="A10" s="4" t="s">
        <v>14</v>
      </c>
      <c r="B10" s="5" t="s">
        <v>15</v>
      </c>
    </row>
    <row r="11" customFormat="false" ht="42" hidden="false" customHeight="true" outlineLevel="0" collapsed="false">
      <c r="A11" s="4" t="s">
        <v>16</v>
      </c>
      <c r="B11"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22"/>
    <col collapsed="false" customWidth="true" hidden="false" outlineLevel="0" max="4" min="4" style="1" width="120"/>
  </cols>
  <sheetData>
    <row r="1" customFormat="false" ht="17.25" hidden="false" customHeight="true" outlineLevel="0" collapsed="false">
      <c r="A1" s="2" t="s">
        <v>18</v>
      </c>
    </row>
    <row r="3" customFormat="false" ht="15" hidden="false" customHeight="true" outlineLevel="0" collapsed="false">
      <c r="A3" s="6" t="s">
        <v>19</v>
      </c>
      <c r="B3" s="6" t="s">
        <v>20</v>
      </c>
      <c r="C3" s="6" t="s">
        <v>21</v>
      </c>
      <c r="D3" s="6" t="s">
        <v>22</v>
      </c>
    </row>
    <row r="4" customFormat="false" ht="60" hidden="false" customHeight="true" outlineLevel="0" collapsed="false">
      <c r="A4" s="4" t="s">
        <v>23</v>
      </c>
      <c r="B4" s="5" t="s">
        <v>24</v>
      </c>
      <c r="C4" s="7" t="n">
        <v>0.008</v>
      </c>
      <c r="D4" s="5" t="s">
        <v>25</v>
      </c>
    </row>
    <row r="5" customFormat="false" ht="60" hidden="false" customHeight="true" outlineLevel="0" collapsed="false">
      <c r="A5" s="4" t="s">
        <v>26</v>
      </c>
      <c r="B5" s="5" t="s">
        <v>27</v>
      </c>
      <c r="C5" s="7" t="n">
        <v>0.012</v>
      </c>
      <c r="D5" s="5" t="s">
        <v>28</v>
      </c>
    </row>
    <row r="6" customFormat="false" ht="60" hidden="false" customHeight="true" outlineLevel="0" collapsed="false">
      <c r="A6" s="4" t="s">
        <v>29</v>
      </c>
      <c r="B6" s="5" t="s">
        <v>30</v>
      </c>
      <c r="C6" s="7" t="n">
        <v>0.024</v>
      </c>
      <c r="D6" s="5" t="s">
        <v>31</v>
      </c>
    </row>
    <row r="7" customFormat="false" ht="60" hidden="false" customHeight="true" outlineLevel="0" collapsed="false">
      <c r="A7" s="4" t="s">
        <v>32</v>
      </c>
      <c r="B7" s="5" t="s">
        <v>33</v>
      </c>
      <c r="C7" s="7" t="n">
        <v>0.041</v>
      </c>
      <c r="D7" s="5" t="s">
        <v>34</v>
      </c>
    </row>
    <row r="8" customFormat="false" ht="60" hidden="false" customHeight="true" outlineLevel="0" collapsed="false">
      <c r="A8" s="4" t="s">
        <v>35</v>
      </c>
      <c r="B8" s="5" t="s">
        <v>36</v>
      </c>
      <c r="C8" s="8" t="s">
        <v>37</v>
      </c>
      <c r="D8" s="5" t="s">
        <v>38</v>
      </c>
    </row>
    <row r="9" customFormat="false" ht="60" hidden="false" customHeight="true" outlineLevel="0" collapsed="false">
      <c r="A9" s="4" t="s">
        <v>39</v>
      </c>
      <c r="B9" s="5" t="s">
        <v>40</v>
      </c>
      <c r="C9" s="8" t="s">
        <v>41</v>
      </c>
      <c r="D9" s="5" t="s">
        <v>42</v>
      </c>
    </row>
    <row r="10" customFormat="false" ht="60" hidden="false" customHeight="true" outlineLevel="0" collapsed="false">
      <c r="A10" s="4" t="s">
        <v>43</v>
      </c>
      <c r="B10" s="5" t="s">
        <v>44</v>
      </c>
      <c r="C10" s="8" t="s">
        <v>45</v>
      </c>
      <c r="D10" s="5" t="s">
        <v>46</v>
      </c>
    </row>
    <row r="11" customFormat="false" ht="60" hidden="false" customHeight="true" outlineLevel="0" collapsed="false">
      <c r="A11" s="4" t="s">
        <v>47</v>
      </c>
      <c r="B11" s="5" t="s">
        <v>48</v>
      </c>
      <c r="C11" s="8" t="s">
        <v>49</v>
      </c>
      <c r="D11" s="5" t="s">
        <v>50</v>
      </c>
    </row>
    <row r="12" customFormat="false" ht="60" hidden="false" customHeight="true" outlineLevel="0" collapsed="false">
      <c r="A12" s="4" t="s">
        <v>51</v>
      </c>
      <c r="B12" s="5" t="s">
        <v>52</v>
      </c>
      <c r="C12" s="8" t="n">
        <v>2</v>
      </c>
      <c r="D12" s="5" t="s">
        <v>53</v>
      </c>
    </row>
    <row r="13" customFormat="false" ht="60" hidden="false" customHeight="true" outlineLevel="0" collapsed="false">
      <c r="A13" s="4" t="s">
        <v>54</v>
      </c>
      <c r="B13" s="5" t="s">
        <v>55</v>
      </c>
      <c r="C13" s="8" t="s">
        <v>56</v>
      </c>
      <c r="D13" s="5" t="s">
        <v>57</v>
      </c>
    </row>
    <row r="14" customFormat="false" ht="60" hidden="false" customHeight="true" outlineLevel="0" collapsed="false">
      <c r="A14" s="4" t="s">
        <v>58</v>
      </c>
      <c r="B14" s="5" t="s">
        <v>59</v>
      </c>
      <c r="C14" s="7" t="n">
        <v>0.3</v>
      </c>
      <c r="D14" s="5" t="s">
        <v>60</v>
      </c>
    </row>
    <row r="15" customFormat="false" ht="60" hidden="false" customHeight="true" outlineLevel="0" collapsed="false">
      <c r="A15" s="4" t="s">
        <v>61</v>
      </c>
      <c r="B15" s="5" t="s">
        <v>62</v>
      </c>
      <c r="C15" s="8" t="s">
        <v>63</v>
      </c>
      <c r="D15" s="5" t="s">
        <v>64</v>
      </c>
    </row>
    <row r="16" customFormat="false" ht="60" hidden="false" customHeight="true" outlineLevel="0" collapsed="false">
      <c r="A16" s="4" t="s">
        <v>65</v>
      </c>
      <c r="B16" s="5" t="s">
        <v>66</v>
      </c>
      <c r="C16" s="7" t="n">
        <v>0.3</v>
      </c>
      <c r="D16" s="5" t="s">
        <v>67</v>
      </c>
    </row>
    <row r="17" customFormat="false" ht="60" hidden="false" customHeight="true" outlineLevel="0" collapsed="false">
      <c r="A17" s="4" t="s">
        <v>68</v>
      </c>
      <c r="B17" s="5" t="s">
        <v>69</v>
      </c>
      <c r="C17" s="9" t="n">
        <v>0</v>
      </c>
      <c r="D17" s="5" t="s">
        <v>70</v>
      </c>
    </row>
    <row r="18" customFormat="false" ht="60" hidden="false" customHeight="true" outlineLevel="0" collapsed="false">
      <c r="A18" s="4" t="s">
        <v>71</v>
      </c>
      <c r="B18" s="5" t="s">
        <v>72</v>
      </c>
      <c r="C18" s="8" t="s">
        <v>73</v>
      </c>
      <c r="D18" s="5" t="s">
        <v>74</v>
      </c>
    </row>
    <row r="19" customFormat="false" ht="60" hidden="false" customHeight="true" outlineLevel="0" collapsed="false">
      <c r="A19" s="4" t="s">
        <v>75</v>
      </c>
      <c r="B19" s="5" t="s">
        <v>76</v>
      </c>
      <c r="C19" s="8" t="s">
        <v>77</v>
      </c>
      <c r="D19" s="5" t="s">
        <v>78</v>
      </c>
    </row>
    <row r="20" customFormat="false" ht="60" hidden="false" customHeight="true" outlineLevel="0" collapsed="false">
      <c r="A20" s="4" t="s">
        <v>79</v>
      </c>
      <c r="B20" s="5" t="s">
        <v>80</v>
      </c>
      <c r="C20" s="8" t="s">
        <v>81</v>
      </c>
      <c r="D20" s="5" t="s">
        <v>82</v>
      </c>
    </row>
    <row r="21" customFormat="false" ht="60" hidden="false" customHeight="true" outlineLevel="0" collapsed="false">
      <c r="A21" s="4" t="s">
        <v>83</v>
      </c>
      <c r="B21" s="5" t="s">
        <v>84</v>
      </c>
      <c r="C21" s="8" t="s">
        <v>85</v>
      </c>
      <c r="D21" s="5" t="s">
        <v>86</v>
      </c>
    </row>
    <row r="22" customFormat="false" ht="60" hidden="false" customHeight="true" outlineLevel="0" collapsed="false">
      <c r="A22" s="4" t="s">
        <v>87</v>
      </c>
      <c r="B22" s="5" t="s">
        <v>88</v>
      </c>
      <c r="C22" s="8" t="s">
        <v>89</v>
      </c>
      <c r="D22" s="5" t="s">
        <v>90</v>
      </c>
    </row>
    <row r="24" customFormat="false" ht="15" hidden="false" customHeight="true" outlineLevel="0" collapsed="false">
      <c r="A24" s="3" t="s">
        <v>91</v>
      </c>
    </row>
    <row r="25" customFormat="false" ht="15" hidden="false" customHeight="true" outlineLevel="0" collapsed="false">
      <c r="A25" s="6" t="s">
        <v>92</v>
      </c>
      <c r="B25" s="6" t="s">
        <v>93</v>
      </c>
      <c r="C25" s="6" t="s">
        <v>94</v>
      </c>
      <c r="D25" s="6" t="s">
        <v>95</v>
      </c>
    </row>
    <row r="26" customFormat="false" ht="15" hidden="false" customHeight="true" outlineLevel="0" collapsed="false">
      <c r="A26" s="4" t="s">
        <v>96</v>
      </c>
      <c r="B26" s="10" t="s">
        <v>97</v>
      </c>
      <c r="C26" s="11" t="n">
        <f aca="false">$C$4</f>
        <v>0.008</v>
      </c>
      <c r="D26" s="8" t="n">
        <v>1</v>
      </c>
    </row>
    <row r="27" customFormat="false" ht="15" hidden="false" customHeight="true" outlineLevel="0" collapsed="false">
      <c r="A27" s="4" t="s">
        <v>98</v>
      </c>
      <c r="B27" s="10" t="s">
        <v>99</v>
      </c>
      <c r="C27" s="11" t="n">
        <f aca="false">$C$5</f>
        <v>0.012</v>
      </c>
      <c r="D27" s="8" t="n">
        <v>1</v>
      </c>
    </row>
    <row r="28" customFormat="false" ht="15" hidden="false" customHeight="true" outlineLevel="0" collapsed="false">
      <c r="A28" s="4" t="s">
        <v>100</v>
      </c>
      <c r="B28" s="10" t="s">
        <v>101</v>
      </c>
      <c r="C28" s="11" t="n">
        <f aca="false">$C$6</f>
        <v>0.024</v>
      </c>
      <c r="D28" s="8" t="n">
        <v>3</v>
      </c>
    </row>
    <row r="29" customFormat="false" ht="15" hidden="false" customHeight="true" outlineLevel="0" collapsed="false">
      <c r="A29" s="4" t="s">
        <v>102</v>
      </c>
      <c r="B29" s="10" t="s">
        <v>103</v>
      </c>
      <c r="C29" s="11" t="n">
        <f aca="false">$C$7</f>
        <v>0.041</v>
      </c>
      <c r="D29" s="8"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14"/>
    <col collapsed="false" customWidth="true" hidden="false" outlineLevel="0" max="4" min="4" style="1" width="60"/>
    <col collapsed="false" customWidth="true" hidden="false" outlineLevel="0" max="5" min="5" style="1" width="18"/>
    <col collapsed="false" customWidth="true" hidden="false" outlineLevel="0" max="6" min="6" style="1" width="20"/>
    <col collapsed="false" customWidth="true" hidden="false" outlineLevel="0" max="7" min="7" style="1" width="60"/>
  </cols>
  <sheetData>
    <row r="1" customFormat="false" ht="17.25" hidden="false" customHeight="true" outlineLevel="0" collapsed="false">
      <c r="A1" s="2" t="s">
        <v>104</v>
      </c>
    </row>
    <row r="2" customFormat="false" ht="15" hidden="false" customHeight="true" outlineLevel="0" collapsed="false">
      <c r="A2" s="12" t="s">
        <v>105</v>
      </c>
    </row>
    <row r="4" customFormat="false" ht="23.25" hidden="false" customHeight="true" outlineLevel="0" collapsed="false">
      <c r="A4" s="6" t="s">
        <v>106</v>
      </c>
      <c r="B4" s="6" t="s">
        <v>107</v>
      </c>
      <c r="C4" s="6" t="s">
        <v>72</v>
      </c>
      <c r="D4" s="6" t="s">
        <v>108</v>
      </c>
      <c r="E4" s="6" t="s">
        <v>109</v>
      </c>
      <c r="F4" s="6" t="s">
        <v>110</v>
      </c>
      <c r="G4" s="6" t="s">
        <v>111</v>
      </c>
    </row>
    <row r="5" customFormat="false" ht="45" hidden="false" customHeight="true" outlineLevel="0" collapsed="false">
      <c r="A5" s="8" t="s">
        <v>112</v>
      </c>
      <c r="B5" s="10" t="s">
        <v>113</v>
      </c>
      <c r="C5" s="9" t="n">
        <v>0.1033</v>
      </c>
      <c r="D5" s="13" t="s">
        <v>114</v>
      </c>
      <c r="E5" s="13" t="s">
        <v>115</v>
      </c>
      <c r="F5" s="13" t="s">
        <v>116</v>
      </c>
      <c r="G5" s="13" t="s">
        <v>117</v>
      </c>
    </row>
    <row r="6" customFormat="false" ht="45" hidden="false" customHeight="true" outlineLevel="0" collapsed="false">
      <c r="A6" s="8" t="s">
        <v>118</v>
      </c>
      <c r="B6" s="10" t="s">
        <v>119</v>
      </c>
      <c r="C6" s="9" t="n">
        <v>0.1029</v>
      </c>
      <c r="D6" s="13" t="s">
        <v>120</v>
      </c>
      <c r="E6" s="13" t="s">
        <v>121</v>
      </c>
      <c r="F6" s="13" t="s">
        <v>122</v>
      </c>
      <c r="G6" s="13" t="s">
        <v>123</v>
      </c>
    </row>
    <row r="7" customFormat="false" ht="45" hidden="false" customHeight="true" outlineLevel="0" collapsed="false">
      <c r="A7" s="8" t="s">
        <v>124</v>
      </c>
      <c r="B7" s="10" t="s">
        <v>125</v>
      </c>
      <c r="C7" s="9" t="n">
        <v>0.0967</v>
      </c>
      <c r="D7" s="13" t="s">
        <v>126</v>
      </c>
      <c r="E7" s="13" t="s">
        <v>121</v>
      </c>
      <c r="F7" s="13" t="s">
        <v>122</v>
      </c>
      <c r="G7" s="13" t="s">
        <v>127</v>
      </c>
    </row>
    <row r="8" customFormat="false" ht="45" hidden="false" customHeight="true" outlineLevel="0" collapsed="false">
      <c r="A8" s="8" t="s">
        <v>128</v>
      </c>
      <c r="B8" s="10" t="s">
        <v>129</v>
      </c>
      <c r="C8" s="7" t="n">
        <v>0.122</v>
      </c>
      <c r="D8" s="13" t="s">
        <v>130</v>
      </c>
      <c r="E8" s="13" t="s">
        <v>115</v>
      </c>
      <c r="F8" s="13" t="s">
        <v>131</v>
      </c>
      <c r="G8" s="13" t="s">
        <v>132</v>
      </c>
    </row>
    <row r="9" customFormat="false" ht="45" hidden="false" customHeight="true" outlineLevel="0" collapsed="false">
      <c r="A9" s="8" t="s">
        <v>133</v>
      </c>
      <c r="B9" s="10" t="s">
        <v>134</v>
      </c>
      <c r="C9" s="9" t="n">
        <v>0.1031</v>
      </c>
      <c r="D9" s="13" t="s">
        <v>135</v>
      </c>
      <c r="E9" s="13" t="s">
        <v>136</v>
      </c>
      <c r="F9" s="13" t="s">
        <v>122</v>
      </c>
      <c r="G9" s="13" t="s">
        <v>137</v>
      </c>
    </row>
    <row r="10" customFormat="false" ht="45" hidden="false" customHeight="true" outlineLevel="0" collapsed="false">
      <c r="A10" s="8" t="s">
        <v>138</v>
      </c>
      <c r="B10" s="10" t="s">
        <v>139</v>
      </c>
      <c r="C10" s="9" t="n">
        <v>0.1124</v>
      </c>
      <c r="D10" s="13" t="s">
        <v>140</v>
      </c>
      <c r="E10" s="13" t="s">
        <v>115</v>
      </c>
      <c r="F10" s="13" t="s">
        <v>141</v>
      </c>
      <c r="G10" s="13" t="s">
        <v>142</v>
      </c>
    </row>
    <row r="11" customFormat="false" ht="45" hidden="false" customHeight="true" outlineLevel="0" collapsed="false">
      <c r="A11" s="8" t="s">
        <v>143</v>
      </c>
      <c r="B11" s="10" t="s">
        <v>144</v>
      </c>
      <c r="C11" s="9" t="n">
        <v>0.098</v>
      </c>
      <c r="D11" s="13" t="s">
        <v>145</v>
      </c>
      <c r="E11" s="13" t="s">
        <v>121</v>
      </c>
      <c r="F11" s="13" t="s">
        <v>122</v>
      </c>
      <c r="G11" s="13" t="s">
        <v>146</v>
      </c>
    </row>
    <row r="12" customFormat="false" ht="45" hidden="false" customHeight="true" outlineLevel="0" collapsed="false">
      <c r="A12" s="8" t="s">
        <v>147</v>
      </c>
      <c r="B12" s="10" t="s">
        <v>148</v>
      </c>
      <c r="C12" s="9" t="n">
        <v>0.097</v>
      </c>
      <c r="D12" s="13" t="s">
        <v>149</v>
      </c>
      <c r="E12" s="13" t="s">
        <v>115</v>
      </c>
      <c r="F12" s="13" t="s">
        <v>141</v>
      </c>
      <c r="G12" s="13" t="s">
        <v>150</v>
      </c>
    </row>
    <row r="13" customFormat="false" ht="45" hidden="false" customHeight="true" outlineLevel="0" collapsed="false">
      <c r="A13" s="8" t="s">
        <v>151</v>
      </c>
      <c r="B13" s="10" t="s">
        <v>152</v>
      </c>
      <c r="C13" s="9" t="n">
        <v>0.1087</v>
      </c>
      <c r="D13" s="13" t="s">
        <v>153</v>
      </c>
      <c r="E13" s="13" t="s">
        <v>121</v>
      </c>
      <c r="F13" s="13" t="s">
        <v>122</v>
      </c>
      <c r="G13" s="13" t="s">
        <v>154</v>
      </c>
    </row>
    <row r="14" customFormat="false" ht="45" hidden="false" customHeight="true" outlineLevel="0" collapsed="false">
      <c r="A14" s="8" t="s">
        <v>155</v>
      </c>
      <c r="B14" s="10" t="s">
        <v>156</v>
      </c>
      <c r="C14" s="9" t="n">
        <v>0.0956</v>
      </c>
      <c r="D14" s="13" t="s">
        <v>157</v>
      </c>
      <c r="E14" s="13" t="s">
        <v>115</v>
      </c>
      <c r="F14" s="13" t="s">
        <v>141</v>
      </c>
      <c r="G14" s="13" t="s">
        <v>158</v>
      </c>
    </row>
    <row r="15" customFormat="false" ht="45" hidden="false" customHeight="true" outlineLevel="0" collapsed="false">
      <c r="A15" s="8" t="s">
        <v>159</v>
      </c>
      <c r="B15" s="10" t="s">
        <v>160</v>
      </c>
      <c r="C15" s="9" t="n">
        <v>0.0997</v>
      </c>
      <c r="D15" s="13" t="s">
        <v>161</v>
      </c>
      <c r="E15" s="13" t="s">
        <v>115</v>
      </c>
      <c r="F15" s="13" t="s">
        <v>141</v>
      </c>
      <c r="G15" s="13"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14"/>
    <col collapsed="false" customWidth="true" hidden="false" outlineLevel="0" max="20" min="4" style="1" width="13"/>
  </cols>
  <sheetData>
    <row r="1" customFormat="false" ht="17.25" hidden="false" customHeight="true" outlineLevel="0" collapsed="false">
      <c r="A1" s="2" t="s">
        <v>163</v>
      </c>
    </row>
    <row r="2" customFormat="false" ht="15" hidden="false" customHeight="true" outlineLevel="0" collapsed="false">
      <c r="A2" s="12" t="s">
        <v>164</v>
      </c>
    </row>
    <row r="4" customFormat="false" ht="34.5" hidden="false" customHeight="true" outlineLevel="0" collapsed="false">
      <c r="A4" s="6" t="s">
        <v>106</v>
      </c>
      <c r="B4" s="6" t="s">
        <v>107</v>
      </c>
      <c r="C4" s="6" t="s">
        <v>165</v>
      </c>
      <c r="D4" s="6" t="s">
        <v>166</v>
      </c>
      <c r="E4" s="6" t="s">
        <v>44</v>
      </c>
      <c r="F4" s="6" t="s">
        <v>167</v>
      </c>
      <c r="G4" s="6" t="s">
        <v>168</v>
      </c>
      <c r="H4" s="6" t="s">
        <v>169</v>
      </c>
      <c r="I4" s="6" t="s">
        <v>170</v>
      </c>
      <c r="J4" s="6" t="s">
        <v>171</v>
      </c>
      <c r="K4" s="6" t="s">
        <v>172</v>
      </c>
      <c r="L4" s="6" t="s">
        <v>173</v>
      </c>
      <c r="M4" s="6" t="s">
        <v>174</v>
      </c>
      <c r="N4" s="6" t="s">
        <v>175</v>
      </c>
      <c r="O4" s="6" t="s">
        <v>176</v>
      </c>
      <c r="P4" s="6" t="s">
        <v>177</v>
      </c>
      <c r="Q4" s="6" t="s">
        <v>178</v>
      </c>
      <c r="R4" s="6" t="s">
        <v>179</v>
      </c>
      <c r="S4" s="6" t="s">
        <v>72</v>
      </c>
      <c r="T4" s="6" t="s">
        <v>180</v>
      </c>
    </row>
    <row r="5" customFormat="false" ht="15" hidden="false" customHeight="true" outlineLevel="0" collapsed="false">
      <c r="A5" s="8" t="s">
        <v>112</v>
      </c>
      <c r="B5" s="8" t="s">
        <v>113</v>
      </c>
      <c r="C5" s="8" t="s">
        <v>181</v>
      </c>
      <c r="D5" s="14" t="n">
        <v>72765.13813337</v>
      </c>
      <c r="E5" s="14" t="n">
        <v>23505.4420687</v>
      </c>
      <c r="F5" s="14" t="n">
        <v>2949.5639291</v>
      </c>
      <c r="G5" s="9" t="n">
        <v>0.12548429935838</v>
      </c>
      <c r="H5" s="14" t="n">
        <v>49249.60690126</v>
      </c>
      <c r="I5" s="14" t="n">
        <v>665.34069969</v>
      </c>
      <c r="J5" s="15" t="n">
        <f aca="false">H5+I5</f>
        <v>49914.94760095</v>
      </c>
      <c r="K5" s="14" t="n">
        <v>277.71713882</v>
      </c>
      <c r="L5" s="11" t="n">
        <f aca="false">IFERROR(I5/J5,0)</f>
        <v>0.0133294880926077</v>
      </c>
      <c r="M5" s="11" t="n">
        <f aca="false">IFERROR(K5/I5,"n/a")</f>
        <v>0.417405907904621</v>
      </c>
      <c r="N5" s="14" t="n">
        <v>548.42207895</v>
      </c>
      <c r="O5" s="14" t="n">
        <v>408.45709088</v>
      </c>
      <c r="P5" s="16" t="n">
        <f aca="false">N5*Assumptions!$C$12</f>
        <v>1096.8441579</v>
      </c>
      <c r="Q5" s="11" t="n">
        <f aca="false">IFERROR(1-O5/N5,"n/a")</f>
        <v>0.255213992000422</v>
      </c>
      <c r="R5" s="11" t="n">
        <f aca="false">F5/E5</f>
        <v>0.125484299358388</v>
      </c>
      <c r="S5" s="17" t="n">
        <f aca="false">Requirements!$C$5</f>
        <v>0.1033</v>
      </c>
      <c r="T5" s="11" t="n">
        <f aca="false">R5-S5</f>
        <v>0.0221842993583881</v>
      </c>
    </row>
    <row r="6" customFormat="false" ht="15" hidden="false" customHeight="true" outlineLevel="0" collapsed="false">
      <c r="A6" s="8" t="s">
        <v>118</v>
      </c>
      <c r="B6" s="8" t="s">
        <v>119</v>
      </c>
      <c r="C6" s="8" t="s">
        <v>181</v>
      </c>
      <c r="D6" s="14" t="n">
        <v>2573933.922967</v>
      </c>
      <c r="E6" s="14" t="n">
        <v>788849.55543735</v>
      </c>
      <c r="F6" s="14" t="n">
        <v>98280.564429</v>
      </c>
      <c r="G6" s="9" t="n">
        <v>0.12458720899514</v>
      </c>
      <c r="H6" s="14" t="n">
        <v>936747.64913</v>
      </c>
      <c r="I6" s="14" t="n">
        <v>26870.41322</v>
      </c>
      <c r="J6" s="15" t="n">
        <f aca="false">H6+I6</f>
        <v>963618.06235</v>
      </c>
      <c r="K6" s="14" t="n">
        <v>13033.489981</v>
      </c>
      <c r="L6" s="11" t="n">
        <f aca="false">IFERROR(I6/J6,0)</f>
        <v>0.0278849206650096</v>
      </c>
      <c r="M6" s="11" t="n">
        <f aca="false">IFERROR(K6/I6,"n/a")</f>
        <v>0.485049852947516</v>
      </c>
      <c r="N6" s="14" t="n">
        <v>8648.672486</v>
      </c>
      <c r="O6" s="14" t="n">
        <v>6498.76835</v>
      </c>
      <c r="P6" s="16" t="n">
        <f aca="false">N6*Assumptions!$C$12</f>
        <v>17297.344972</v>
      </c>
      <c r="Q6" s="11" t="n">
        <f aca="false">IFERROR(1-O6/N6,"n/a")</f>
        <v>0.248581980584899</v>
      </c>
      <c r="R6" s="11" t="n">
        <f aca="false">F6/E6</f>
        <v>0.124587208995145</v>
      </c>
      <c r="S6" s="17" t="n">
        <f aca="false">Requirements!$C$6</f>
        <v>0.1029</v>
      </c>
      <c r="T6" s="11" t="n">
        <f aca="false">R6-S6</f>
        <v>0.0216872089951446</v>
      </c>
    </row>
    <row r="7" customFormat="false" ht="15" hidden="false" customHeight="true" outlineLevel="0" collapsed="false">
      <c r="A7" s="8" t="s">
        <v>124</v>
      </c>
      <c r="B7" s="8" t="s">
        <v>125</v>
      </c>
      <c r="C7" s="8" t="s">
        <v>181</v>
      </c>
      <c r="D7" s="14" t="n">
        <v>1797909.92</v>
      </c>
      <c r="E7" s="14" t="n">
        <v>625750.26763223</v>
      </c>
      <c r="F7" s="14" t="n">
        <v>81252.906825</v>
      </c>
      <c r="G7" s="9" t="n">
        <v>0.1298487767851</v>
      </c>
      <c r="H7" s="14" t="n">
        <v>1037662.739</v>
      </c>
      <c r="I7" s="14" t="n">
        <v>35924.454</v>
      </c>
      <c r="J7" s="15" t="n">
        <f aca="false">H7+I7</f>
        <v>1073587.193</v>
      </c>
      <c r="K7" s="14" t="n">
        <v>14243.98</v>
      </c>
      <c r="L7" s="11" t="n">
        <f aca="false">IFERROR(I7/J7,0)</f>
        <v>0.0334620739090728</v>
      </c>
      <c r="M7" s="11" t="n">
        <f aca="false">IFERROR(K7/I7,"n/a")</f>
        <v>0.396498162505128</v>
      </c>
      <c r="N7" s="14" t="n">
        <v>9089.942</v>
      </c>
      <c r="O7" s="14" t="n">
        <v>6737.048</v>
      </c>
      <c r="P7" s="16" t="n">
        <f aca="false">N7*Assumptions!$C$12</f>
        <v>18179.884</v>
      </c>
      <c r="Q7" s="11" t="n">
        <f aca="false">IFERROR(1-O7/N7,"n/a")</f>
        <v>0.258845876024291</v>
      </c>
      <c r="R7" s="11" t="n">
        <f aca="false">F7/E7</f>
        <v>0.12984877678511</v>
      </c>
      <c r="S7" s="17" t="n">
        <f aca="false">Requirements!$C$7</f>
        <v>0.0967</v>
      </c>
      <c r="T7" s="11" t="n">
        <f aca="false">R7-S7</f>
        <v>0.0331487767851096</v>
      </c>
    </row>
    <row r="8" customFormat="false" ht="15" hidden="false" customHeight="true" outlineLevel="0" collapsed="false">
      <c r="A8" s="8" t="s">
        <v>128</v>
      </c>
      <c r="B8" s="8" t="s">
        <v>129</v>
      </c>
      <c r="C8" s="8" t="s">
        <v>181</v>
      </c>
      <c r="D8" s="14" t="n">
        <v>19594.3948884513</v>
      </c>
      <c r="E8" s="14" t="n">
        <v>5426.02273299826</v>
      </c>
      <c r="F8" s="14" t="n">
        <v>1300.55674726789</v>
      </c>
      <c r="G8" s="9" t="n">
        <v>0.23968877597186</v>
      </c>
      <c r="H8" s="14" t="n">
        <v>7549.08333070788</v>
      </c>
      <c r="I8" s="14" t="n">
        <v>558.10733011716</v>
      </c>
      <c r="J8" s="15" t="n">
        <f aca="false">H8+I8</f>
        <v>8107.19066082504</v>
      </c>
      <c r="K8" s="14" t="n">
        <v>303.09854740573</v>
      </c>
      <c r="L8" s="11" t="n">
        <f aca="false">IFERROR(I8/J8,0)</f>
        <v>0.0688410268693944</v>
      </c>
      <c r="M8" s="11" t="n">
        <f aca="false">IFERROR(K8/I8,"n/a")</f>
        <v>0.543082900097554</v>
      </c>
      <c r="N8" s="14" t="n">
        <v>74.9617816284335</v>
      </c>
      <c r="O8" s="14" t="n">
        <v>60.3022215221029</v>
      </c>
      <c r="P8" s="16" t="n">
        <f aca="false">N8*Assumptions!$C$12</f>
        <v>149.923563256867</v>
      </c>
      <c r="Q8" s="11" t="n">
        <f aca="false">IFERROR(1-O8/N8,"n/a")</f>
        <v>0.195560454779401</v>
      </c>
      <c r="R8" s="11" t="n">
        <f aca="false">F8/E8</f>
        <v>0.239688775971869</v>
      </c>
      <c r="S8" s="17" t="n">
        <f aca="false">Requirements!$C$8</f>
        <v>0.122</v>
      </c>
      <c r="T8" s="11" t="n">
        <f aca="false">R8-S8</f>
        <v>0.117688775971869</v>
      </c>
    </row>
    <row r="9" customFormat="false" ht="15" hidden="false" customHeight="true" outlineLevel="0" collapsed="false">
      <c r="A9" s="8" t="s">
        <v>133</v>
      </c>
      <c r="B9" s="8" t="s">
        <v>134</v>
      </c>
      <c r="C9" s="8" t="s">
        <v>181</v>
      </c>
      <c r="D9" s="14" t="n">
        <v>599092.10201461</v>
      </c>
      <c r="E9" s="14" t="n">
        <v>176124.48555388</v>
      </c>
      <c r="F9" s="14" t="n">
        <v>25641.98985626</v>
      </c>
      <c r="G9" s="9" t="n">
        <v>0.14559014764824</v>
      </c>
      <c r="H9" s="14" t="n">
        <v>357348.46565541</v>
      </c>
      <c r="I9" s="14" t="n">
        <v>5035.67919899</v>
      </c>
      <c r="J9" s="15" t="n">
        <f aca="false">H9+I9</f>
        <v>362384.1448544</v>
      </c>
      <c r="K9" s="14" t="n">
        <v>2199.65790426</v>
      </c>
      <c r="L9" s="11" t="n">
        <f aca="false">IFERROR(I9/J9,0)</f>
        <v>0.0138959699823878</v>
      </c>
      <c r="M9" s="11" t="n">
        <f aca="false">IFERROR(K9/I9,"n/a")</f>
        <v>0.436814542257017</v>
      </c>
      <c r="N9" s="14" t="n">
        <v>1859.01312899</v>
      </c>
      <c r="O9" s="14" t="n">
        <v>1405.9095536</v>
      </c>
      <c r="P9" s="16" t="n">
        <f aca="false">N9*Assumptions!$C$12</f>
        <v>3718.02625798</v>
      </c>
      <c r="Q9" s="11" t="n">
        <f aca="false">IFERROR(1-O9/N9,"n/a")</f>
        <v>0.243733391832564</v>
      </c>
      <c r="R9" s="11" t="n">
        <f aca="false">F9/E9</f>
        <v>0.145590147648242</v>
      </c>
      <c r="S9" s="17" t="n">
        <f aca="false">Requirements!$C$9</f>
        <v>0.1031</v>
      </c>
      <c r="T9" s="11" t="n">
        <f aca="false">R9-S9</f>
        <v>0.0424901476482417</v>
      </c>
    </row>
    <row r="10" customFormat="false" ht="15" hidden="false" customHeight="true" outlineLevel="0" collapsed="false">
      <c r="A10" s="8" t="s">
        <v>138</v>
      </c>
      <c r="B10" s="8" t="s">
        <v>139</v>
      </c>
      <c r="C10" s="8" t="s">
        <v>181</v>
      </c>
      <c r="D10" s="14" t="n">
        <v>1395879.86706988</v>
      </c>
      <c r="E10" s="14" t="n">
        <v>340805.06175363</v>
      </c>
      <c r="F10" s="14" t="n">
        <v>48521.5729430161</v>
      </c>
      <c r="G10" s="9" t="n">
        <v>0.14237339285204</v>
      </c>
      <c r="H10" s="14" t="n">
        <v>717860.62881162</v>
      </c>
      <c r="I10" s="14" t="n">
        <v>14914.5080845086</v>
      </c>
      <c r="J10" s="15" t="n">
        <f aca="false">H10+I10</f>
        <v>732775.136896129</v>
      </c>
      <c r="K10" s="14" t="n">
        <v>4642.69543583858</v>
      </c>
      <c r="L10" s="11" t="n">
        <f aca="false">IFERROR(I10/J10,0)</f>
        <v>0.0203534581531834</v>
      </c>
      <c r="M10" s="11" t="n">
        <f aca="false">IFERROR(K10/I10,"n/a")</f>
        <v>0.311287198312686</v>
      </c>
      <c r="N10" s="14" t="n">
        <v>5243.54384896998</v>
      </c>
      <c r="O10" s="14" t="n">
        <v>3736.63461257998</v>
      </c>
      <c r="P10" s="16" t="n">
        <f aca="false">N10*Assumptions!$C$12</f>
        <v>10487.08769794</v>
      </c>
      <c r="Q10" s="11" t="n">
        <f aca="false">IFERROR(1-O10/N10,"n/a")</f>
        <v>0.287383738897504</v>
      </c>
      <c r="R10" s="11" t="n">
        <f aca="false">F10/E10</f>
        <v>0.142373392852048</v>
      </c>
      <c r="S10" s="17" t="n">
        <f aca="false">Requirements!$C$10</f>
        <v>0.1124</v>
      </c>
      <c r="T10" s="11" t="n">
        <f aca="false">R10-S10</f>
        <v>0.0299733928520482</v>
      </c>
    </row>
    <row r="11" customFormat="false" ht="15" hidden="false" customHeight="true" outlineLevel="0" collapsed="false">
      <c r="A11" s="8" t="s">
        <v>143</v>
      </c>
      <c r="B11" s="8" t="s">
        <v>144</v>
      </c>
      <c r="C11" s="8" t="s">
        <v>181</v>
      </c>
      <c r="D11" s="14" t="n">
        <v>2187749.11120205</v>
      </c>
      <c r="E11" s="14" t="n">
        <v>649013.18230942</v>
      </c>
      <c r="F11" s="14" t="n">
        <v>114107.248902859</v>
      </c>
      <c r="G11" s="9" t="n">
        <v>0.17581653503065</v>
      </c>
      <c r="H11" s="14" t="n">
        <v>1319100.9033159</v>
      </c>
      <c r="I11" s="14" t="n">
        <v>26431.74919335</v>
      </c>
      <c r="J11" s="15" t="n">
        <f aca="false">H11+I11</f>
        <v>1345532.65250925</v>
      </c>
      <c r="K11" s="14" t="n">
        <v>12915.30288496</v>
      </c>
      <c r="L11" s="11" t="n">
        <f aca="false">IFERROR(I11/J11,0)</f>
        <v>0.0196440786063854</v>
      </c>
      <c r="M11" s="11" t="n">
        <f aca="false">IFERROR(K11/I11,"n/a")</f>
        <v>0.488628383633777</v>
      </c>
      <c r="N11" s="14" t="n">
        <v>6666.81890484</v>
      </c>
      <c r="O11" s="14" t="n">
        <v>5346.93992507</v>
      </c>
      <c r="P11" s="16" t="n">
        <f aca="false">N11*Assumptions!$C$12</f>
        <v>13333.63780968</v>
      </c>
      <c r="Q11" s="11" t="n">
        <f aca="false">IFERROR(1-O11/N11,"n/a")</f>
        <v>0.197977326009529</v>
      </c>
      <c r="R11" s="11" t="n">
        <f aca="false">F11/E11</f>
        <v>0.175816535030652</v>
      </c>
      <c r="S11" s="17" t="n">
        <f aca="false">Requirements!$C$11</f>
        <v>0.098</v>
      </c>
      <c r="T11" s="11" t="n">
        <f aca="false">R11-S11</f>
        <v>0.0778165350306519</v>
      </c>
    </row>
    <row r="12" customFormat="false" ht="15" hidden="false" customHeight="true" outlineLevel="0" collapsed="false">
      <c r="A12" s="8" t="s">
        <v>147</v>
      </c>
      <c r="B12" s="8" t="s">
        <v>148</v>
      </c>
      <c r="C12" s="8" t="s">
        <v>181</v>
      </c>
      <c r="D12" s="14" t="n">
        <v>257233.543</v>
      </c>
      <c r="E12" s="14" t="n">
        <v>67610.08248687</v>
      </c>
      <c r="F12" s="14" t="n">
        <v>10461.29163206</v>
      </c>
      <c r="G12" s="9" t="n">
        <v>0.15472975697214</v>
      </c>
      <c r="H12" s="14" t="n">
        <v>89240.027</v>
      </c>
      <c r="I12" s="14" t="n">
        <v>1407.361</v>
      </c>
      <c r="J12" s="15" t="n">
        <f aca="false">H12+I12</f>
        <v>90647.388</v>
      </c>
      <c r="K12" s="14" t="n">
        <v>369.976</v>
      </c>
      <c r="L12" s="11" t="n">
        <f aca="false">IFERROR(I12/J12,0)</f>
        <v>0.0155256652293169</v>
      </c>
      <c r="M12" s="11" t="n">
        <f aca="false">IFERROR(K12/I12,"n/a")</f>
        <v>0.262886352542098</v>
      </c>
      <c r="N12" s="14" t="n">
        <v>498.028</v>
      </c>
      <c r="O12" s="14" t="n">
        <v>418.412</v>
      </c>
      <c r="P12" s="16" t="n">
        <f aca="false">N12*Assumptions!$C$12</f>
        <v>996.056</v>
      </c>
      <c r="Q12" s="11" t="n">
        <f aca="false">IFERROR(1-O12/N12,"n/a")</f>
        <v>0.159862497690893</v>
      </c>
      <c r="R12" s="11" t="n">
        <f aca="false">F12/E12</f>
        <v>0.154729756972144</v>
      </c>
      <c r="S12" s="17" t="n">
        <f aca="false">Requirements!$C$12</f>
        <v>0.097</v>
      </c>
      <c r="T12" s="11" t="n">
        <f aca="false">R12-S12</f>
        <v>0.0577297569721439</v>
      </c>
    </row>
    <row r="13" customFormat="false" ht="15" hidden="false" customHeight="true" outlineLevel="0" collapsed="false">
      <c r="A13" s="8" t="s">
        <v>151</v>
      </c>
      <c r="B13" s="8" t="s">
        <v>152</v>
      </c>
      <c r="C13" s="8" t="s">
        <v>181</v>
      </c>
      <c r="D13" s="14" t="n">
        <v>1086759.756</v>
      </c>
      <c r="E13" s="14" t="n">
        <v>335803.77875556</v>
      </c>
      <c r="F13" s="14" t="n">
        <v>44534.03239615</v>
      </c>
      <c r="G13" s="9" t="n">
        <v>0.13261921161574</v>
      </c>
      <c r="H13" s="14" t="n">
        <v>815802.573</v>
      </c>
      <c r="I13" s="14" t="n">
        <v>12329.485</v>
      </c>
      <c r="J13" s="15" t="n">
        <f aca="false">H13+I13</f>
        <v>828132.058</v>
      </c>
      <c r="K13" s="14" t="n">
        <v>4184.136</v>
      </c>
      <c r="L13" s="11" t="n">
        <f aca="false">IFERROR(I13/J13,0)</f>
        <v>0.0148883078258999</v>
      </c>
      <c r="M13" s="11" t="n">
        <f aca="false">IFERROR(K13/I13,"n/a")</f>
        <v>0.339360159812028</v>
      </c>
      <c r="N13" s="14" t="n">
        <v>4493.034</v>
      </c>
      <c r="O13" s="14" t="n">
        <v>3256.378</v>
      </c>
      <c r="P13" s="16" t="n">
        <f aca="false">N13*Assumptions!$C$12</f>
        <v>8986.068</v>
      </c>
      <c r="Q13" s="11" t="n">
        <f aca="false">IFERROR(1-O13/N13,"n/a")</f>
        <v>0.275238513663596</v>
      </c>
      <c r="R13" s="11" t="n">
        <f aca="false">F13/E13</f>
        <v>0.132619211615744</v>
      </c>
      <c r="S13" s="17" t="n">
        <f aca="false">Requirements!$C$13</f>
        <v>0.1087</v>
      </c>
      <c r="T13" s="11" t="n">
        <f aca="false">R13-S13</f>
        <v>0.0239192116157437</v>
      </c>
    </row>
    <row r="14" customFormat="false" ht="15" hidden="false" customHeight="true" outlineLevel="0" collapsed="false">
      <c r="A14" s="8" t="s">
        <v>155</v>
      </c>
      <c r="B14" s="8" t="s">
        <v>156</v>
      </c>
      <c r="C14" s="8" t="s">
        <v>181</v>
      </c>
      <c r="D14" s="14" t="n">
        <v>110484.43948599</v>
      </c>
      <c r="E14" s="14" t="n">
        <v>34950.14768</v>
      </c>
      <c r="F14" s="14" t="n">
        <v>6290.777414</v>
      </c>
      <c r="G14" s="9" t="n">
        <v>0.17999287074829</v>
      </c>
      <c r="H14" s="14" t="n">
        <v>37754.86028989</v>
      </c>
      <c r="I14" s="14" t="n">
        <v>6.96509815</v>
      </c>
      <c r="J14" s="15" t="n">
        <f aca="false">H14+I14</f>
        <v>37761.82538804</v>
      </c>
      <c r="K14" s="14" t="n">
        <v>2.52484094</v>
      </c>
      <c r="L14" s="11" t="n">
        <f aca="false">IFERROR(I14/J14,0)</f>
        <v>0.000184448131901113</v>
      </c>
      <c r="M14" s="11" t="n">
        <f aca="false">IFERROR(K14/I14,"n/a")</f>
        <v>0.362498974978551</v>
      </c>
      <c r="N14" s="14" t="n">
        <v>269.453855480003</v>
      </c>
      <c r="O14" s="14" t="n">
        <v>195.800108290003</v>
      </c>
      <c r="P14" s="16" t="n">
        <f aca="false">N14*Assumptions!$C$12</f>
        <v>538.907710960006</v>
      </c>
      <c r="Q14" s="11" t="n">
        <f aca="false">IFERROR(1-O14/N14,"n/a")</f>
        <v>0.273344566025206</v>
      </c>
      <c r="R14" s="11" t="n">
        <f aca="false">F14/E14</f>
        <v>0.179992870748293</v>
      </c>
      <c r="S14" s="17" t="n">
        <f aca="false">Requirements!$C$14</f>
        <v>0.0956</v>
      </c>
      <c r="T14" s="11" t="n">
        <f aca="false">R14-S14</f>
        <v>0.0843928707482932</v>
      </c>
    </row>
    <row r="15" customFormat="false" ht="15" hidden="false" customHeight="true" outlineLevel="0" collapsed="false">
      <c r="A15" s="8" t="s">
        <v>159</v>
      </c>
      <c r="B15" s="8" t="s">
        <v>160</v>
      </c>
      <c r="C15" s="8" t="s">
        <v>81</v>
      </c>
      <c r="D15" s="14" t="n">
        <v>27385.3809992426</v>
      </c>
      <c r="E15" s="14" t="n">
        <v>4141.118223</v>
      </c>
      <c r="F15" s="14" t="n">
        <v>1297.155363</v>
      </c>
      <c r="G15" s="9" t="n">
        <v>0.31323794519932</v>
      </c>
      <c r="H15" s="14" t="n">
        <v>7056.53062819</v>
      </c>
      <c r="I15" s="14" t="n">
        <v>57.09508639</v>
      </c>
      <c r="J15" s="15" t="n">
        <f aca="false">H15+I15</f>
        <v>7113.62571458</v>
      </c>
      <c r="K15" s="14" t="n">
        <v>45.98581587</v>
      </c>
      <c r="L15" s="11" t="n">
        <f aca="false">IFERROR(I15/J15,0)</f>
        <v>0.00802615834467909</v>
      </c>
      <c r="M15" s="11" t="n">
        <f aca="false">IFERROR(K15/I15,"n/a")</f>
        <v>0.805425103587447</v>
      </c>
      <c r="N15" s="14" t="n">
        <v>133.56680166</v>
      </c>
      <c r="O15" s="14" t="n">
        <v>102.923</v>
      </c>
      <c r="P15" s="16" t="n">
        <f aca="false">N15*Assumptions!$C$12</f>
        <v>267.13360332</v>
      </c>
      <c r="Q15" s="11" t="n">
        <f aca="false">IFERROR(1-O15/N15,"n/a")</f>
        <v>0.229426783296085</v>
      </c>
      <c r="R15" s="11" t="n">
        <f aca="false">F15/E15</f>
        <v>0.313237945199325</v>
      </c>
      <c r="S15" s="17" t="n">
        <f aca="false">Requirements!$C$15</f>
        <v>0.0997</v>
      </c>
      <c r="T15" s="11" t="n">
        <f aca="false">R15-S15</f>
        <v>0.213537945199325</v>
      </c>
    </row>
    <row r="16" customFormat="false" ht="15" hidden="false" customHeight="true" outlineLevel="0" collapsed="false">
      <c r="A16" s="8" t="s">
        <v>182</v>
      </c>
      <c r="B16" s="8" t="s">
        <v>76</v>
      </c>
      <c r="C16" s="8" t="s">
        <v>183</v>
      </c>
      <c r="D16" s="14" t="n">
        <v>59929.1849992374</v>
      </c>
      <c r="E16" s="14" t="n">
        <v>302.298752343785</v>
      </c>
      <c r="F16" s="14" t="n">
        <v>1066.08940151617</v>
      </c>
      <c r="G16" s="9" t="n">
        <v>3.52660867188686</v>
      </c>
      <c r="H16" s="14" t="n">
        <v>52612.7374045664</v>
      </c>
      <c r="I16" s="14" t="n">
        <v>0</v>
      </c>
      <c r="J16" s="15" t="n">
        <f aca="false">H16+I16</f>
        <v>52612.7374045664</v>
      </c>
      <c r="K16" s="14" t="n">
        <v>0</v>
      </c>
      <c r="L16" s="11" t="n">
        <f aca="false">IFERROR(I16/J16,0)</f>
        <v>0</v>
      </c>
      <c r="M16" s="11" t="str">
        <f aca="false">IFERROR(K16/I16,"n/a")</f>
        <v>n/a</v>
      </c>
      <c r="N16" s="14" t="n">
        <v>4.36926497106715</v>
      </c>
      <c r="O16" s="14" t="n">
        <v>3.22057497869286</v>
      </c>
      <c r="P16" s="16" t="n">
        <f aca="false">N16*Assumptions!$C$12</f>
        <v>8.7385299421343</v>
      </c>
      <c r="Q16" s="11" t="n">
        <f aca="false">IFERROR(1-O16/N16,"n/a")</f>
        <v>0.26290234169381</v>
      </c>
      <c r="R16" s="11" t="n">
        <f aca="false">F16/E16</f>
        <v>3.52660867188686</v>
      </c>
      <c r="S16" s="10" t="s">
        <v>184</v>
      </c>
      <c r="T16" s="10" t="s">
        <v>184</v>
      </c>
    </row>
    <row r="18" customFormat="false" ht="15" hidden="false" customHeight="true" outlineLevel="0" collapsed="false">
      <c r="A18" s="12"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4"/>
  </cols>
  <sheetData>
    <row r="1" customFormat="false" ht="17.25" hidden="false" customHeight="true" outlineLevel="0" collapsed="false">
      <c r="A1" s="2" t="s">
        <v>186</v>
      </c>
    </row>
    <row r="2" customFormat="false" ht="15" hidden="false" customHeight="true" outlineLevel="0" collapsed="false">
      <c r="A2" s="12" t="s">
        <v>187</v>
      </c>
    </row>
    <row r="4" customFormat="false" ht="15" hidden="false" customHeight="true" outlineLevel="0" collapsed="false">
      <c r="A4" s="3" t="s">
        <v>188</v>
      </c>
      <c r="C4" s="4" t="s">
        <v>189</v>
      </c>
      <c r="D4" s="17" t="n">
        <f aca="false">Assumptions!$C$26</f>
        <v>0.008</v>
      </c>
      <c r="E4" s="4" t="s">
        <v>190</v>
      </c>
      <c r="F4" s="18" t="n">
        <f aca="false">Assumptions!$D$26</f>
        <v>1</v>
      </c>
    </row>
    <row r="5" customFormat="false" ht="42" hidden="false" customHeight="true" outlineLevel="0" collapsed="false">
      <c r="A5" s="6" t="s">
        <v>107</v>
      </c>
      <c r="B5" s="6" t="s">
        <v>165</v>
      </c>
      <c r="C5" s="6" t="s">
        <v>191</v>
      </c>
      <c r="D5" s="6" t="s">
        <v>192</v>
      </c>
      <c r="E5" s="6" t="s">
        <v>193</v>
      </c>
      <c r="F5" s="6" t="s">
        <v>194</v>
      </c>
      <c r="G5" s="6" t="s">
        <v>195</v>
      </c>
      <c r="H5" s="6" t="s">
        <v>196</v>
      </c>
      <c r="I5" s="6" t="s">
        <v>72</v>
      </c>
      <c r="J5" s="6" t="s">
        <v>197</v>
      </c>
      <c r="K5" s="6" t="s">
        <v>198</v>
      </c>
      <c r="L5" s="6" t="s">
        <v>199</v>
      </c>
      <c r="M5" s="6" t="s">
        <v>200</v>
      </c>
      <c r="N5" s="6" t="s">
        <v>201</v>
      </c>
      <c r="O5" s="6" t="s">
        <v>202</v>
      </c>
      <c r="P5" s="6" t="s">
        <v>203</v>
      </c>
      <c r="Q5" s="6" t="s">
        <v>204</v>
      </c>
      <c r="R5" s="6" t="s">
        <v>205</v>
      </c>
      <c r="S5" s="6" t="s">
        <v>206</v>
      </c>
    </row>
    <row r="6" customFormat="false" ht="15" hidden="false" customHeight="true" outlineLevel="0" collapsed="false">
      <c r="A6" s="16" t="str">
        <f aca="false">'Bank Inputs'!B5</f>
        <v>BAWAG Group</v>
      </c>
      <c r="B6" s="16" t="str">
        <f aca="false">'Bank Inputs'!C5</f>
        <v>Core</v>
      </c>
      <c r="C6" s="11" t="n">
        <f aca="false">'Bank Inputs'!L5+$D$4</f>
        <v>0.0213294880926077</v>
      </c>
      <c r="D6" s="15" t="n">
        <f aca="false">$D$4*'Bank Inputs'!J5</f>
        <v>399.3195808076</v>
      </c>
      <c r="E6" s="15" t="n">
        <f aca="false">D6*'Bank Inputs'!M5</f>
        <v>166.678352171089</v>
      </c>
      <c r="F6" s="19" t="n">
        <f aca="false">'Bank Inputs'!F5-E6</f>
        <v>2782.88557692891</v>
      </c>
      <c r="G6" s="20" t="n">
        <f aca="false">F6/'Bank Inputs'!E5</f>
        <v>0.118393245649041</v>
      </c>
      <c r="H6" s="20" t="n">
        <f aca="false">G6-'Bank Inputs'!R5</f>
        <v>-0.00709105370934671</v>
      </c>
      <c r="I6" s="21" t="n">
        <f aca="false">'Bank Inputs'!S5</f>
        <v>0.1033</v>
      </c>
      <c r="J6" s="20" t="n">
        <f aca="false">G6-I6</f>
        <v>0.0150932456490414</v>
      </c>
      <c r="K6" s="19" t="str">
        <f aca="false">IF(J6&lt;0,"YES","no")</f>
        <v>no</v>
      </c>
      <c r="L6" s="15" t="n">
        <f aca="false">'Bank Inputs'!P5*$F$4</f>
        <v>1096.8441579</v>
      </c>
      <c r="M6" s="15" t="n">
        <f aca="false">L6-E6</f>
        <v>930.165805728911</v>
      </c>
      <c r="N6" s="15" t="n">
        <f aca="false">MAX(M6,0)*Assumptions!$C$14</f>
        <v>279.049741718673</v>
      </c>
      <c r="O6" s="15" t="n">
        <f aca="false">M6-N6</f>
        <v>651.116064010238</v>
      </c>
      <c r="P6" s="15" t="n">
        <f aca="false">IF(O6&gt;0,O6*Assumptions!$C$16,Assumptions!$C$17*0)</f>
        <v>195.334819203071</v>
      </c>
      <c r="Q6" s="15" t="n">
        <f aca="false">'Bank Inputs'!F5+O6-P6</f>
        <v>3405.34517390717</v>
      </c>
      <c r="R6" s="11" t="n">
        <f aca="false">Q6/'Bank Inputs'!E5</f>
        <v>0.144874755554661</v>
      </c>
      <c r="S6" s="11" t="n">
        <f aca="false">R6-I6</f>
        <v>0.0415747555546614</v>
      </c>
    </row>
    <row r="7" customFormat="false" ht="15" hidden="false" customHeight="true" outlineLevel="0" collapsed="false">
      <c r="A7" s="16" t="str">
        <f aca="false">'Bank Inputs'!B6</f>
        <v>BNP Paribas</v>
      </c>
      <c r="B7" s="16" t="str">
        <f aca="false">'Bank Inputs'!C6</f>
        <v>Core</v>
      </c>
      <c r="C7" s="11" t="n">
        <f aca="false">'Bank Inputs'!L6+$D$4</f>
        <v>0.0358849206650096</v>
      </c>
      <c r="D7" s="15" t="n">
        <f aca="false">$D$4*'Bank Inputs'!J6</f>
        <v>7708.9444988</v>
      </c>
      <c r="E7" s="15" t="n">
        <f aca="false">D7*'Bank Inputs'!M6</f>
        <v>3739.22239552351</v>
      </c>
      <c r="F7" s="19" t="n">
        <f aca="false">'Bank Inputs'!F6-E7</f>
        <v>94541.3420334765</v>
      </c>
      <c r="G7" s="20" t="n">
        <f aca="false">F7/'Bank Inputs'!E6</f>
        <v>0.119847113282661</v>
      </c>
      <c r="H7" s="20" t="n">
        <f aca="false">G7-'Bank Inputs'!R6</f>
        <v>-0.00474009571248403</v>
      </c>
      <c r="I7" s="21" t="n">
        <f aca="false">'Bank Inputs'!S6</f>
        <v>0.1029</v>
      </c>
      <c r="J7" s="20" t="n">
        <f aca="false">G7-I7</f>
        <v>0.0169471132826605</v>
      </c>
      <c r="K7" s="19" t="str">
        <f aca="false">IF(J7&lt;0,"YES","no")</f>
        <v>no</v>
      </c>
      <c r="L7" s="15" t="n">
        <f aca="false">'Bank Inputs'!P6*$F$4</f>
        <v>17297.344972</v>
      </c>
      <c r="M7" s="15" t="n">
        <f aca="false">L7-E7</f>
        <v>13558.1225764765</v>
      </c>
      <c r="N7" s="15" t="n">
        <f aca="false">MAX(M7,0)*Assumptions!$C$14</f>
        <v>4067.43677294295</v>
      </c>
      <c r="O7" s="15" t="n">
        <f aca="false">M7-N7</f>
        <v>9490.68580353355</v>
      </c>
      <c r="P7" s="15" t="n">
        <f aca="false">IF(O7&gt;0,O7*Assumptions!$C$16,Assumptions!$C$17*0)</f>
        <v>2847.20574106006</v>
      </c>
      <c r="Q7" s="15" t="n">
        <f aca="false">'Bank Inputs'!F6+O7-P7</f>
        <v>104924.044491473</v>
      </c>
      <c r="R7" s="11" t="n">
        <f aca="false">Q7/'Bank Inputs'!E6</f>
        <v>0.133008941652128</v>
      </c>
      <c r="S7" s="11" t="n">
        <f aca="false">R7-I7</f>
        <v>0.0301089416521279</v>
      </c>
    </row>
    <row r="8" customFormat="false" ht="15" hidden="false" customHeight="true" outlineLevel="0" collapsed="false">
      <c r="A8" s="16" t="str">
        <f aca="false">'Bank Inputs'!B7</f>
        <v>Banco Santander</v>
      </c>
      <c r="B8" s="16" t="str">
        <f aca="false">'Bank Inputs'!C7</f>
        <v>Core</v>
      </c>
      <c r="C8" s="11" t="n">
        <f aca="false">'Bank Inputs'!L7+$D$4</f>
        <v>0.0414620739090728</v>
      </c>
      <c r="D8" s="15" t="n">
        <f aca="false">$D$4*'Bank Inputs'!J7</f>
        <v>8588.697544</v>
      </c>
      <c r="E8" s="15" t="n">
        <f aca="false">D8*'Bank Inputs'!M7</f>
        <v>3405.40279450831</v>
      </c>
      <c r="F8" s="19" t="n">
        <f aca="false">'Bank Inputs'!F7-E8</f>
        <v>77847.5040304917</v>
      </c>
      <c r="G8" s="20" t="n">
        <f aca="false">F8/'Bank Inputs'!E7</f>
        <v>0.1244066651782</v>
      </c>
      <c r="H8" s="20" t="n">
        <f aca="false">G8-'Bank Inputs'!R7</f>
        <v>-0.00544211160690986</v>
      </c>
      <c r="I8" s="21" t="n">
        <f aca="false">'Bank Inputs'!S7</f>
        <v>0.0967</v>
      </c>
      <c r="J8" s="20" t="n">
        <f aca="false">G8-I8</f>
        <v>0.0277066651781997</v>
      </c>
      <c r="K8" s="19" t="str">
        <f aca="false">IF(J8&lt;0,"YES","no")</f>
        <v>no</v>
      </c>
      <c r="L8" s="15" t="n">
        <f aca="false">'Bank Inputs'!P7*$F$4</f>
        <v>18179.884</v>
      </c>
      <c r="M8" s="15" t="n">
        <f aca="false">L8-E8</f>
        <v>14774.4812054917</v>
      </c>
      <c r="N8" s="15" t="n">
        <f aca="false">MAX(M8,0)*Assumptions!$C$14</f>
        <v>4432.34436164751</v>
      </c>
      <c r="O8" s="15" t="n">
        <f aca="false">M8-N8</f>
        <v>10342.1368438442</v>
      </c>
      <c r="P8" s="15" t="n">
        <f aca="false">IF(O8&gt;0,O8*Assumptions!$C$16,Assumptions!$C$17*0)</f>
        <v>3102.64105315326</v>
      </c>
      <c r="Q8" s="15" t="n">
        <f aca="false">'Bank Inputs'!F7+O8-P8</f>
        <v>88492.4026156909</v>
      </c>
      <c r="R8" s="11" t="n">
        <f aca="false">Q8/'Bank Inputs'!E7</f>
        <v>0.141418081929931</v>
      </c>
      <c r="S8" s="11" t="n">
        <f aca="false">R8-I8</f>
        <v>0.044718081929931</v>
      </c>
    </row>
    <row r="9" customFormat="false" ht="15" hidden="false" customHeight="true" outlineLevel="0" collapsed="false">
      <c r="A9" s="16" t="str">
        <f aca="false">'Bank Inputs'!B8</f>
        <v>CEC Bank</v>
      </c>
      <c r="B9" s="16" t="str">
        <f aca="false">'Bank Inputs'!C8</f>
        <v>Core</v>
      </c>
      <c r="C9" s="11" t="n">
        <f aca="false">'Bank Inputs'!L8+$D$4</f>
        <v>0.0768410268693944</v>
      </c>
      <c r="D9" s="15" t="n">
        <f aca="false">$D$4*'Bank Inputs'!J8</f>
        <v>64.8575252866003</v>
      </c>
      <c r="E9" s="15" t="n">
        <f aca="false">D9*'Bank Inputs'!M8</f>
        <v>35.2230129257973</v>
      </c>
      <c r="F9" s="19" t="n">
        <f aca="false">'Bank Inputs'!F8-E9</f>
        <v>1265.33373434209</v>
      </c>
      <c r="G9" s="20" t="n">
        <f aca="false">F9/'Bank Inputs'!E8</f>
        <v>0.233197278486688</v>
      </c>
      <c r="H9" s="20" t="n">
        <f aca="false">G9-'Bank Inputs'!R8</f>
        <v>-0.00649149748518177</v>
      </c>
      <c r="I9" s="21" t="n">
        <f aca="false">'Bank Inputs'!S8</f>
        <v>0.122</v>
      </c>
      <c r="J9" s="20" t="n">
        <f aca="false">G9-I9</f>
        <v>0.111197278486688</v>
      </c>
      <c r="K9" s="19" t="str">
        <f aca="false">IF(J9&lt;0,"YES","no")</f>
        <v>no</v>
      </c>
      <c r="L9" s="15" t="n">
        <f aca="false">'Bank Inputs'!P8*$F$4</f>
        <v>149.923563256867</v>
      </c>
      <c r="M9" s="15" t="n">
        <f aca="false">L9-E9</f>
        <v>114.70055033107</v>
      </c>
      <c r="N9" s="15" t="n">
        <f aca="false">MAX(M9,0)*Assumptions!$C$14</f>
        <v>34.4101650993209</v>
      </c>
      <c r="O9" s="15" t="n">
        <f aca="false">M9-N9</f>
        <v>80.2903852317488</v>
      </c>
      <c r="P9" s="15" t="n">
        <f aca="false">IF(O9&gt;0,O9*Assumptions!$C$16,Assumptions!$C$17*0)</f>
        <v>24.0871155695246</v>
      </c>
      <c r="Q9" s="15" t="n">
        <f aca="false">'Bank Inputs'!F8+O9-P9</f>
        <v>1356.76001693011</v>
      </c>
      <c r="R9" s="11" t="n">
        <f aca="false">Q9/'Bank Inputs'!E8</f>
        <v>0.250046872947841</v>
      </c>
      <c r="S9" s="11" t="n">
        <f aca="false">R9-I9</f>
        <v>0.128046872947841</v>
      </c>
    </row>
    <row r="10" customFormat="false" ht="15" hidden="false" customHeight="true" outlineLevel="0" collapsed="false">
      <c r="A10" s="16" t="str">
        <f aca="false">'Bank Inputs'!B9</f>
        <v>Commerzbank</v>
      </c>
      <c r="B10" s="16" t="str">
        <f aca="false">'Bank Inputs'!C9</f>
        <v>Core</v>
      </c>
      <c r="C10" s="11" t="n">
        <f aca="false">'Bank Inputs'!L9+$D$4</f>
        <v>0.0218959699823878</v>
      </c>
      <c r="D10" s="15" t="n">
        <f aca="false">$D$4*'Bank Inputs'!J9</f>
        <v>2899.0731588352</v>
      </c>
      <c r="E10" s="15" t="n">
        <f aca="false">D10*'Bank Inputs'!M9</f>
        <v>1266.3573148462</v>
      </c>
      <c r="F10" s="19" t="n">
        <f aca="false">'Bank Inputs'!F9-E10</f>
        <v>24375.6325414138</v>
      </c>
      <c r="G10" s="20" t="n">
        <f aca="false">F10/'Bank Inputs'!E9</f>
        <v>0.138400021239277</v>
      </c>
      <c r="H10" s="20" t="n">
        <f aca="false">G10-'Bank Inputs'!R9</f>
        <v>-0.00719012640896427</v>
      </c>
      <c r="I10" s="21" t="n">
        <f aca="false">'Bank Inputs'!S9</f>
        <v>0.1031</v>
      </c>
      <c r="J10" s="20" t="n">
        <f aca="false">G10-I10</f>
        <v>0.0353000212392774</v>
      </c>
      <c r="K10" s="19" t="str">
        <f aca="false">IF(J10&lt;0,"YES","no")</f>
        <v>no</v>
      </c>
      <c r="L10" s="15" t="n">
        <f aca="false">'Bank Inputs'!P9*$F$4</f>
        <v>3718.02625798</v>
      </c>
      <c r="M10" s="15" t="n">
        <f aca="false">L10-E10</f>
        <v>2451.6689431338</v>
      </c>
      <c r="N10" s="15" t="n">
        <f aca="false">MAX(M10,0)*Assumptions!$C$14</f>
        <v>735.500682940139</v>
      </c>
      <c r="O10" s="15" t="n">
        <f aca="false">M10-N10</f>
        <v>1716.16826019366</v>
      </c>
      <c r="P10" s="15" t="n">
        <f aca="false">IF(O10&gt;0,O10*Assumptions!$C$16,Assumptions!$C$17*0)</f>
        <v>514.850478058098</v>
      </c>
      <c r="Q10" s="15" t="n">
        <f aca="false">'Bank Inputs'!F9+O10-P10</f>
        <v>26843.3076383956</v>
      </c>
      <c r="R10" s="11" t="n">
        <f aca="false">Q10/'Bank Inputs'!E9</f>
        <v>0.152410992452175</v>
      </c>
      <c r="S10" s="11" t="n">
        <f aca="false">R10-I10</f>
        <v>0.0493109924521747</v>
      </c>
    </row>
    <row r="11" customFormat="false" ht="15" hidden="false" customHeight="true" outlineLevel="0" collapsed="false">
      <c r="A11" s="16" t="str">
        <f aca="false">'Bank Inputs'!B10</f>
        <v>Deutsche Bank</v>
      </c>
      <c r="B11" s="16" t="str">
        <f aca="false">'Bank Inputs'!C10</f>
        <v>Core</v>
      </c>
      <c r="C11" s="11" t="n">
        <f aca="false">'Bank Inputs'!L10+$D$4</f>
        <v>0.0283534581531834</v>
      </c>
      <c r="D11" s="15" t="n">
        <f aca="false">$D$4*'Bank Inputs'!J10</f>
        <v>5862.20109516903</v>
      </c>
      <c r="E11" s="15" t="n">
        <f aca="false">D11*'Bank Inputs'!M10</f>
        <v>1824.82815486072</v>
      </c>
      <c r="F11" s="19" t="n">
        <f aca="false">'Bank Inputs'!F10-E11</f>
        <v>46696.7447881554</v>
      </c>
      <c r="G11" s="20" t="n">
        <f aca="false">F11/'Bank Inputs'!E10</f>
        <v>0.137018929671628</v>
      </c>
      <c r="H11" s="20" t="n">
        <f aca="false">G11-'Bank Inputs'!R10</f>
        <v>-0.00535446318042043</v>
      </c>
      <c r="I11" s="21" t="n">
        <f aca="false">'Bank Inputs'!S10</f>
        <v>0.1124</v>
      </c>
      <c r="J11" s="20" t="n">
        <f aca="false">G11-I11</f>
        <v>0.0246189296716277</v>
      </c>
      <c r="K11" s="19" t="str">
        <f aca="false">IF(J11&lt;0,"YES","no")</f>
        <v>no</v>
      </c>
      <c r="L11" s="15" t="n">
        <f aca="false">'Bank Inputs'!P10*$F$4</f>
        <v>10487.08769794</v>
      </c>
      <c r="M11" s="15" t="n">
        <f aca="false">L11-E11</f>
        <v>8662.25954307924</v>
      </c>
      <c r="N11" s="15" t="n">
        <f aca="false">MAX(M11,0)*Assumptions!$C$14</f>
        <v>2598.67786292377</v>
      </c>
      <c r="O11" s="15" t="n">
        <f aca="false">M11-N11</f>
        <v>6063.58168015547</v>
      </c>
      <c r="P11" s="15" t="n">
        <f aca="false">IF(O11&gt;0,O11*Assumptions!$C$16,Assumptions!$C$17*0)</f>
        <v>1819.07450404664</v>
      </c>
      <c r="Q11" s="15" t="n">
        <f aca="false">'Bank Inputs'!F10+O11-P11</f>
        <v>52766.0801191249</v>
      </c>
      <c r="R11" s="11" t="n">
        <f aca="false">Q11/'Bank Inputs'!E10</f>
        <v>0.154827747708952</v>
      </c>
      <c r="S11" s="11" t="n">
        <f aca="false">R11-I11</f>
        <v>0.0424277477089523</v>
      </c>
    </row>
    <row r="12" customFormat="false" ht="15" hidden="false" customHeight="true" outlineLevel="0" collapsed="false">
      <c r="A12" s="16" t="str">
        <f aca="false">'Bank Inputs'!B11</f>
        <v>Groupe Crédit Agricole</v>
      </c>
      <c r="B12" s="16" t="str">
        <f aca="false">'Bank Inputs'!C11</f>
        <v>Core</v>
      </c>
      <c r="C12" s="11" t="n">
        <f aca="false">'Bank Inputs'!L11+$D$4</f>
        <v>0.0276440786063854</v>
      </c>
      <c r="D12" s="15" t="n">
        <f aca="false">$D$4*'Bank Inputs'!J11</f>
        <v>10764.261220074</v>
      </c>
      <c r="E12" s="15" t="n">
        <f aca="false">D12*'Bank Inputs'!M11</f>
        <v>5259.72356097651</v>
      </c>
      <c r="F12" s="19" t="n">
        <f aca="false">'Bank Inputs'!F11-E12</f>
        <v>108847.525341883</v>
      </c>
      <c r="G12" s="20" t="n">
        <f aca="false">F12/'Bank Inputs'!E11</f>
        <v>0.167712349007403</v>
      </c>
      <c r="H12" s="20" t="n">
        <f aca="false">G12-'Bank Inputs'!R11</f>
        <v>-0.00810418602324922</v>
      </c>
      <c r="I12" s="21" t="n">
        <f aca="false">'Bank Inputs'!S11</f>
        <v>0.098</v>
      </c>
      <c r="J12" s="20" t="n">
        <f aca="false">G12-I12</f>
        <v>0.0697123490074027</v>
      </c>
      <c r="K12" s="19" t="str">
        <f aca="false">IF(J12&lt;0,"YES","no")</f>
        <v>no</v>
      </c>
      <c r="L12" s="15" t="n">
        <f aca="false">'Bank Inputs'!P11*$F$4</f>
        <v>13333.63780968</v>
      </c>
      <c r="M12" s="15" t="n">
        <f aca="false">L12-E12</f>
        <v>8073.91424870349</v>
      </c>
      <c r="N12" s="15" t="n">
        <f aca="false">MAX(M12,0)*Assumptions!$C$14</f>
        <v>2422.17427461105</v>
      </c>
      <c r="O12" s="15" t="n">
        <f aca="false">M12-N12</f>
        <v>5651.73997409245</v>
      </c>
      <c r="P12" s="15" t="n">
        <f aca="false">IF(O12&gt;0,O12*Assumptions!$C$16,Assumptions!$C$17*0)</f>
        <v>1695.52199222773</v>
      </c>
      <c r="Q12" s="15" t="n">
        <f aca="false">'Bank Inputs'!F11+O12-P12</f>
        <v>118063.466884724</v>
      </c>
      <c r="R12" s="11" t="n">
        <f aca="false">Q12/'Bank Inputs'!E11</f>
        <v>0.181912278676085</v>
      </c>
      <c r="S12" s="11" t="n">
        <f aca="false">R12-I12</f>
        <v>0.0839122786760846</v>
      </c>
    </row>
    <row r="13" customFormat="false" ht="15" hidden="false" customHeight="true" outlineLevel="0" collapsed="false">
      <c r="A13" s="16" t="str">
        <f aca="false">'Bank Inputs'!B12</f>
        <v>HSBC Continental Europe</v>
      </c>
      <c r="B13" s="16" t="str">
        <f aca="false">'Bank Inputs'!C12</f>
        <v>Core</v>
      </c>
      <c r="C13" s="11" t="n">
        <f aca="false">'Bank Inputs'!L12+$D$4</f>
        <v>0.0235256652293169</v>
      </c>
      <c r="D13" s="15" t="n">
        <f aca="false">$D$4*'Bank Inputs'!J12</f>
        <v>725.179104</v>
      </c>
      <c r="E13" s="15" t="n">
        <f aca="false">D13*'Bank Inputs'!M12</f>
        <v>190.639689590307</v>
      </c>
      <c r="F13" s="19" t="n">
        <f aca="false">'Bank Inputs'!F12-E13</f>
        <v>10270.6519424697</v>
      </c>
      <c r="G13" s="20" t="n">
        <f aca="false">F13/'Bank Inputs'!E12</f>
        <v>0.151910063775832</v>
      </c>
      <c r="H13" s="20" t="n">
        <f aca="false">G13-'Bank Inputs'!R12</f>
        <v>-0.00281969319631181</v>
      </c>
      <c r="I13" s="21" t="n">
        <f aca="false">'Bank Inputs'!S12</f>
        <v>0.097</v>
      </c>
      <c r="J13" s="20" t="n">
        <f aca="false">G13-I13</f>
        <v>0.0549100637758321</v>
      </c>
      <c r="K13" s="19" t="str">
        <f aca="false">IF(J13&lt;0,"YES","no")</f>
        <v>no</v>
      </c>
      <c r="L13" s="15" t="n">
        <f aca="false">'Bank Inputs'!P12*$F$4</f>
        <v>996.056</v>
      </c>
      <c r="M13" s="15" t="n">
        <f aca="false">L13-E13</f>
        <v>805.416310409693</v>
      </c>
      <c r="N13" s="15" t="n">
        <f aca="false">MAX(M13,0)*Assumptions!$C$14</f>
        <v>241.624893122908</v>
      </c>
      <c r="O13" s="15" t="n">
        <f aca="false">M13-N13</f>
        <v>563.791417286785</v>
      </c>
      <c r="P13" s="15" t="n">
        <f aca="false">IF(O13&gt;0,O13*Assumptions!$C$16,Assumptions!$C$17*0)</f>
        <v>169.137425186036</v>
      </c>
      <c r="Q13" s="15" t="n">
        <f aca="false">'Bank Inputs'!F12+O13-P13</f>
        <v>10855.9456241608</v>
      </c>
      <c r="R13" s="11" t="n">
        <f aca="false">Q13/'Bank Inputs'!E12</f>
        <v>0.160566963163652</v>
      </c>
      <c r="S13" s="11" t="n">
        <f aca="false">R13-I13</f>
        <v>0.0635669631636523</v>
      </c>
    </row>
    <row r="14" customFormat="false" ht="15" hidden="false" customHeight="true" outlineLevel="0" collapsed="false">
      <c r="A14" s="16" t="str">
        <f aca="false">'Bank Inputs'!B13</f>
        <v>ING Groep</v>
      </c>
      <c r="B14" s="16" t="str">
        <f aca="false">'Bank Inputs'!C13</f>
        <v>Core</v>
      </c>
      <c r="C14" s="11" t="n">
        <f aca="false">'Bank Inputs'!L13+$D$4</f>
        <v>0.0228883078258999</v>
      </c>
      <c r="D14" s="15" t="n">
        <f aca="false">$D$4*'Bank Inputs'!J13</f>
        <v>6625.056464</v>
      </c>
      <c r="E14" s="15" t="n">
        <f aca="false">D14*'Bank Inputs'!M13</f>
        <v>2248.28022038675</v>
      </c>
      <c r="F14" s="19" t="n">
        <f aca="false">'Bank Inputs'!F13-E14</f>
        <v>42285.7521757633</v>
      </c>
      <c r="G14" s="20" t="n">
        <f aca="false">F14/'Bank Inputs'!E13</f>
        <v>0.125923991482371</v>
      </c>
      <c r="H14" s="20" t="n">
        <f aca="false">G14-'Bank Inputs'!R13</f>
        <v>-0.00669522013337237</v>
      </c>
      <c r="I14" s="21" t="n">
        <f aca="false">'Bank Inputs'!S13</f>
        <v>0.1087</v>
      </c>
      <c r="J14" s="20" t="n">
        <f aca="false">G14-I14</f>
        <v>0.0172239914823714</v>
      </c>
      <c r="K14" s="19" t="str">
        <f aca="false">IF(J14&lt;0,"YES","no")</f>
        <v>no</v>
      </c>
      <c r="L14" s="15" t="n">
        <f aca="false">'Bank Inputs'!P13*$F$4</f>
        <v>8986.068</v>
      </c>
      <c r="M14" s="15" t="n">
        <f aca="false">L14-E14</f>
        <v>6737.78777961325</v>
      </c>
      <c r="N14" s="15" t="n">
        <f aca="false">MAX(M14,0)*Assumptions!$C$14</f>
        <v>2021.33633388398</v>
      </c>
      <c r="O14" s="15" t="n">
        <f aca="false">M14-N14</f>
        <v>4716.45144572928</v>
      </c>
      <c r="P14" s="15" t="n">
        <f aca="false">IF(O14&gt;0,O14*Assumptions!$C$16,Assumptions!$C$17*0)</f>
        <v>1414.93543371878</v>
      </c>
      <c r="Q14" s="15" t="n">
        <f aca="false">'Bank Inputs'!F13+O14-P14</f>
        <v>47835.5484081605</v>
      </c>
      <c r="R14" s="11" t="n">
        <f aca="false">Q14/'Bank Inputs'!E13</f>
        <v>0.142450893749415</v>
      </c>
      <c r="S14" s="11" t="n">
        <f aca="false">R14-I14</f>
        <v>0.0337508937494155</v>
      </c>
    </row>
    <row r="15" customFormat="false" ht="15" hidden="false" customHeight="true" outlineLevel="0" collapsed="false">
      <c r="A15" s="16" t="str">
        <f aca="false">'Bank Inputs'!B14</f>
        <v>Morgan Stanley Europe Holding SE</v>
      </c>
      <c r="B15" s="16" t="str">
        <f aca="false">'Bank Inputs'!C14</f>
        <v>Core</v>
      </c>
      <c r="C15" s="11" t="n">
        <f aca="false">'Bank Inputs'!L14+$D$4</f>
        <v>0.00818444813190111</v>
      </c>
      <c r="D15" s="15" t="n">
        <f aca="false">$D$4*'Bank Inputs'!J14</f>
        <v>302.09460310432</v>
      </c>
      <c r="E15" s="15" t="n">
        <f aca="false">D15*'Bank Inputs'!M14</f>
        <v>109.508983971868</v>
      </c>
      <c r="F15" s="19" t="n">
        <f aca="false">'Bank Inputs'!F14-E15</f>
        <v>6181.26843002813</v>
      </c>
      <c r="G15" s="20" t="n">
        <f aca="false">F15/'Bank Inputs'!E14</f>
        <v>0.176859579725476</v>
      </c>
      <c r="H15" s="20" t="n">
        <f aca="false">G15-'Bank Inputs'!R14</f>
        <v>-0.00313329102281687</v>
      </c>
      <c r="I15" s="21" t="n">
        <f aca="false">'Bank Inputs'!S14</f>
        <v>0.0956</v>
      </c>
      <c r="J15" s="20" t="n">
        <f aca="false">G15-I15</f>
        <v>0.0812595797254763</v>
      </c>
      <c r="K15" s="19" t="str">
        <f aca="false">IF(J15&lt;0,"YES","no")</f>
        <v>no</v>
      </c>
      <c r="L15" s="15" t="n">
        <f aca="false">'Bank Inputs'!P14*$F$4</f>
        <v>538.907710960006</v>
      </c>
      <c r="M15" s="15" t="n">
        <f aca="false">L15-E15</f>
        <v>429.398726988138</v>
      </c>
      <c r="N15" s="15" t="n">
        <f aca="false">MAX(M15,0)*Assumptions!$C$14</f>
        <v>128.819618096441</v>
      </c>
      <c r="O15" s="15" t="n">
        <f aca="false">M15-N15</f>
        <v>300.579108891697</v>
      </c>
      <c r="P15" s="15" t="n">
        <f aca="false">IF(O15&gt;0,O15*Assumptions!$C$16,Assumptions!$C$17*0)</f>
        <v>90.173732667509</v>
      </c>
      <c r="Q15" s="15" t="n">
        <f aca="false">'Bank Inputs'!F14+O15-P15</f>
        <v>6501.18279022419</v>
      </c>
      <c r="R15" s="11" t="n">
        <f aca="false">Q15/'Bank Inputs'!E14</f>
        <v>0.186013027748791</v>
      </c>
      <c r="S15" s="11" t="n">
        <f aca="false">R15-I15</f>
        <v>0.0904130277487911</v>
      </c>
    </row>
    <row r="16" customFormat="false" ht="15" hidden="false" customHeight="true" outlineLevel="0" collapsed="false">
      <c r="A16" s="16" t="str">
        <f aca="false">'Bank Inputs'!B15</f>
        <v>Revolut Holdings Europe</v>
      </c>
      <c r="B16" s="16" t="str">
        <f aca="false">'Bank Inputs'!C15</f>
        <v>Reference case</v>
      </c>
      <c r="C16" s="11" t="n">
        <f aca="false">'Bank Inputs'!L15+$D$4</f>
        <v>0.0160261583446791</v>
      </c>
      <c r="D16" s="15" t="n">
        <f aca="false">$D$4*'Bank Inputs'!J15</f>
        <v>56.90900571664</v>
      </c>
      <c r="E16" s="15" t="n">
        <f aca="false">D16*'Bank Inputs'!M15</f>
        <v>45.8359418243834</v>
      </c>
      <c r="F16" s="19" t="n">
        <f aca="false">'Bank Inputs'!F15-E16</f>
        <v>1251.31942117562</v>
      </c>
      <c r="G16" s="20" t="n">
        <f aca="false">F16/'Bank Inputs'!E15</f>
        <v>0.302169451291132</v>
      </c>
      <c r="H16" s="20" t="n">
        <f aca="false">G16-'Bank Inputs'!R15</f>
        <v>-0.0110684939081932</v>
      </c>
      <c r="I16" s="21" t="n">
        <f aca="false">'Bank Inputs'!S15</f>
        <v>0.0997</v>
      </c>
      <c r="J16" s="20" t="n">
        <f aca="false">G16-I16</f>
        <v>0.202469451291132</v>
      </c>
      <c r="K16" s="19" t="str">
        <f aca="false">IF(J16&lt;0,"YES","no")</f>
        <v>no</v>
      </c>
      <c r="L16" s="15" t="n">
        <f aca="false">'Bank Inputs'!P15*$F$4</f>
        <v>267.13360332</v>
      </c>
      <c r="M16" s="15" t="n">
        <f aca="false">L16-E16</f>
        <v>221.297661495617</v>
      </c>
      <c r="N16" s="15" t="n">
        <f aca="false">MAX(M16,0)*Assumptions!$C$14</f>
        <v>66.389298448685</v>
      </c>
      <c r="O16" s="15" t="n">
        <f aca="false">M16-N16</f>
        <v>154.908363046932</v>
      </c>
      <c r="P16" s="15" t="n">
        <f aca="false">IF(O16&gt;0,O16*Assumptions!$C$16,Assumptions!$C$17*0)</f>
        <v>46.4725089140795</v>
      </c>
      <c r="Q16" s="15" t="n">
        <f aca="false">'Bank Inputs'!F15+O16-P16</f>
        <v>1405.59121713285</v>
      </c>
      <c r="R16" s="11" t="n">
        <f aca="false">Q16/'Bank Inputs'!E15</f>
        <v>0.339423107827765</v>
      </c>
      <c r="S16" s="11" t="n">
        <f aca="false">R16-I16</f>
        <v>0.239723107827765</v>
      </c>
    </row>
    <row r="19" customFormat="false" ht="15" hidden="false" customHeight="true" outlineLevel="0" collapsed="false">
      <c r="A19" s="3" t="s">
        <v>207</v>
      </c>
      <c r="C19" s="4" t="s">
        <v>189</v>
      </c>
      <c r="D19" s="17" t="n">
        <f aca="false">Assumptions!$C$27</f>
        <v>0.012</v>
      </c>
      <c r="E19" s="4" t="s">
        <v>190</v>
      </c>
      <c r="F19" s="18" t="n">
        <f aca="false">Assumptions!$D$27</f>
        <v>1</v>
      </c>
    </row>
    <row r="20" customFormat="false" ht="42" hidden="false" customHeight="true" outlineLevel="0" collapsed="false">
      <c r="A20" s="6" t="s">
        <v>107</v>
      </c>
      <c r="B20" s="6" t="s">
        <v>165</v>
      </c>
      <c r="C20" s="6" t="s">
        <v>191</v>
      </c>
      <c r="D20" s="6" t="s">
        <v>192</v>
      </c>
      <c r="E20" s="6" t="s">
        <v>193</v>
      </c>
      <c r="F20" s="6" t="s">
        <v>194</v>
      </c>
      <c r="G20" s="6" t="s">
        <v>195</v>
      </c>
      <c r="H20" s="6" t="s">
        <v>196</v>
      </c>
      <c r="I20" s="6" t="s">
        <v>72</v>
      </c>
      <c r="J20" s="6" t="s">
        <v>197</v>
      </c>
      <c r="K20" s="6" t="s">
        <v>198</v>
      </c>
      <c r="L20" s="6" t="s">
        <v>199</v>
      </c>
      <c r="M20" s="6" t="s">
        <v>200</v>
      </c>
      <c r="N20" s="6" t="s">
        <v>201</v>
      </c>
      <c r="O20" s="6" t="s">
        <v>202</v>
      </c>
      <c r="P20" s="6" t="s">
        <v>203</v>
      </c>
      <c r="Q20" s="6" t="s">
        <v>204</v>
      </c>
      <c r="R20" s="6" t="s">
        <v>205</v>
      </c>
      <c r="S20" s="6" t="s">
        <v>206</v>
      </c>
    </row>
    <row r="21" customFormat="false" ht="15" hidden="false" customHeight="true" outlineLevel="0" collapsed="false">
      <c r="A21" s="16" t="str">
        <f aca="false">'Bank Inputs'!B5</f>
        <v>BAWAG Group</v>
      </c>
      <c r="B21" s="16" t="str">
        <f aca="false">'Bank Inputs'!C5</f>
        <v>Core</v>
      </c>
      <c r="C21" s="11" t="n">
        <f aca="false">'Bank Inputs'!L5+$D$19</f>
        <v>0.0253294880926077</v>
      </c>
      <c r="D21" s="15" t="n">
        <f aca="false">$D$19*'Bank Inputs'!J5</f>
        <v>598.9793712114</v>
      </c>
      <c r="E21" s="15" t="n">
        <f aca="false">D21*'Bank Inputs'!M5</f>
        <v>250.017528256633</v>
      </c>
      <c r="F21" s="19" t="n">
        <f aca="false">'Bank Inputs'!F5-E21</f>
        <v>2699.54640084337</v>
      </c>
      <c r="G21" s="20" t="n">
        <f aca="false">F21/'Bank Inputs'!E5</f>
        <v>0.114847718794368</v>
      </c>
      <c r="H21" s="20" t="n">
        <f aca="false">G21-'Bank Inputs'!R5</f>
        <v>-0.01063658056402</v>
      </c>
      <c r="I21" s="21" t="n">
        <f aca="false">'Bank Inputs'!S5</f>
        <v>0.1033</v>
      </c>
      <c r="J21" s="20" t="n">
        <f aca="false">G21-I21</f>
        <v>0.0115477187943681</v>
      </c>
      <c r="K21" s="19" t="str">
        <f aca="false">IF(J21&lt;0,"YES","no")</f>
        <v>no</v>
      </c>
      <c r="L21" s="15" t="n">
        <f aca="false">'Bank Inputs'!P5*$F$19</f>
        <v>1096.8441579</v>
      </c>
      <c r="M21" s="15" t="n">
        <f aca="false">L21-E21</f>
        <v>846.826629643367</v>
      </c>
      <c r="N21" s="15" t="n">
        <f aca="false">MAX(M21,0)*Assumptions!$C$14</f>
        <v>254.04798889301</v>
      </c>
      <c r="O21" s="15" t="n">
        <f aca="false">M21-N21</f>
        <v>592.778640750357</v>
      </c>
      <c r="P21" s="15" t="n">
        <f aca="false">IF(O21&gt;0,O21*Assumptions!$C$16,Assumptions!$C$17*0)</f>
        <v>177.833592225107</v>
      </c>
      <c r="Q21" s="15" t="n">
        <f aca="false">'Bank Inputs'!F5+O21-P21</f>
        <v>3364.50897762525</v>
      </c>
      <c r="R21" s="11" t="n">
        <f aca="false">Q21/'Bank Inputs'!E5</f>
        <v>0.143137447395871</v>
      </c>
      <c r="S21" s="11" t="n">
        <f aca="false">R21-I21</f>
        <v>0.0398374473958714</v>
      </c>
    </row>
    <row r="22" customFormat="false" ht="15" hidden="false" customHeight="true" outlineLevel="0" collapsed="false">
      <c r="A22" s="16" t="str">
        <f aca="false">'Bank Inputs'!B6</f>
        <v>BNP Paribas</v>
      </c>
      <c r="B22" s="16" t="str">
        <f aca="false">'Bank Inputs'!C6</f>
        <v>Core</v>
      </c>
      <c r="C22" s="11" t="n">
        <f aca="false">'Bank Inputs'!L6+$D$19</f>
        <v>0.0398849206650096</v>
      </c>
      <c r="D22" s="15" t="n">
        <f aca="false">$D$19*'Bank Inputs'!J6</f>
        <v>11563.4167482</v>
      </c>
      <c r="E22" s="15" t="n">
        <f aca="false">D22*'Bank Inputs'!M6</f>
        <v>5608.83359328526</v>
      </c>
      <c r="F22" s="19" t="n">
        <f aca="false">'Bank Inputs'!F6-E22</f>
        <v>92671.7308357147</v>
      </c>
      <c r="G22" s="20" t="n">
        <f aca="false">F22/'Bank Inputs'!E6</f>
        <v>0.117477065426419</v>
      </c>
      <c r="H22" s="20" t="n">
        <f aca="false">G22-'Bank Inputs'!R6</f>
        <v>-0.00711014356872604</v>
      </c>
      <c r="I22" s="21" t="n">
        <f aca="false">'Bank Inputs'!S6</f>
        <v>0.1029</v>
      </c>
      <c r="J22" s="20" t="n">
        <f aca="false">G22-I22</f>
        <v>0.0145770654264185</v>
      </c>
      <c r="K22" s="19" t="str">
        <f aca="false">IF(J22&lt;0,"YES","no")</f>
        <v>no</v>
      </c>
      <c r="L22" s="15" t="n">
        <f aca="false">'Bank Inputs'!P6*$F$19</f>
        <v>17297.344972</v>
      </c>
      <c r="M22" s="15" t="n">
        <f aca="false">L22-E22</f>
        <v>11688.5113787147</v>
      </c>
      <c r="N22" s="15" t="n">
        <f aca="false">MAX(M22,0)*Assumptions!$C$14</f>
        <v>3506.55341361442</v>
      </c>
      <c r="O22" s="15" t="n">
        <f aca="false">M22-N22</f>
        <v>8181.95796510032</v>
      </c>
      <c r="P22" s="15" t="n">
        <f aca="false">IF(O22&gt;0,O22*Assumptions!$C$16,Assumptions!$C$17*0)</f>
        <v>2454.5873895301</v>
      </c>
      <c r="Q22" s="15" t="n">
        <f aca="false">'Bank Inputs'!F6+O22-P22</f>
        <v>104007.93500457</v>
      </c>
      <c r="R22" s="11" t="n">
        <f aca="false">Q22/'Bank Inputs'!E6</f>
        <v>0.131847618202569</v>
      </c>
      <c r="S22" s="11" t="n">
        <f aca="false">R22-I22</f>
        <v>0.0289476182025693</v>
      </c>
    </row>
    <row r="23" customFormat="false" ht="15" hidden="false" customHeight="true" outlineLevel="0" collapsed="false">
      <c r="A23" s="16" t="str">
        <f aca="false">'Bank Inputs'!B7</f>
        <v>Banco Santander</v>
      </c>
      <c r="B23" s="16" t="str">
        <f aca="false">'Bank Inputs'!C7</f>
        <v>Core</v>
      </c>
      <c r="C23" s="11" t="n">
        <f aca="false">'Bank Inputs'!L7+$D$19</f>
        <v>0.0454620739090728</v>
      </c>
      <c r="D23" s="15" t="n">
        <f aca="false">$D$19*'Bank Inputs'!J7</f>
        <v>12883.046316</v>
      </c>
      <c r="E23" s="15" t="n">
        <f aca="false">D23*'Bank Inputs'!M7</f>
        <v>5108.10419176246</v>
      </c>
      <c r="F23" s="19" t="n">
        <f aca="false">'Bank Inputs'!F7-E23</f>
        <v>76144.8026332375</v>
      </c>
      <c r="G23" s="20" t="n">
        <f aca="false">F23/'Bank Inputs'!E7</f>
        <v>0.121685609374745</v>
      </c>
      <c r="H23" s="20" t="n">
        <f aca="false">G23-'Bank Inputs'!R7</f>
        <v>-0.00816316741036478</v>
      </c>
      <c r="I23" s="21" t="n">
        <f aca="false">'Bank Inputs'!S7</f>
        <v>0.0967</v>
      </c>
      <c r="J23" s="20" t="n">
        <f aca="false">G23-I23</f>
        <v>0.0249856093747448</v>
      </c>
      <c r="K23" s="19" t="str">
        <f aca="false">IF(J23&lt;0,"YES","no")</f>
        <v>no</v>
      </c>
      <c r="L23" s="15" t="n">
        <f aca="false">'Bank Inputs'!P7*$F$19</f>
        <v>18179.884</v>
      </c>
      <c r="M23" s="15" t="n">
        <f aca="false">L23-E23</f>
        <v>13071.7798082375</v>
      </c>
      <c r="N23" s="15" t="n">
        <f aca="false">MAX(M23,0)*Assumptions!$C$14</f>
        <v>3921.53394247126</v>
      </c>
      <c r="O23" s="15" t="n">
        <f aca="false">M23-N23</f>
        <v>9150.24586576628</v>
      </c>
      <c r="P23" s="15" t="n">
        <f aca="false">IF(O23&gt;0,O23*Assumptions!$C$16,Assumptions!$C$17*0)</f>
        <v>2745.07375972988</v>
      </c>
      <c r="Q23" s="15" t="n">
        <f aca="false">'Bank Inputs'!F7+O23-P23</f>
        <v>87658.0789310364</v>
      </c>
      <c r="R23" s="11" t="n">
        <f aca="false">Q23/'Bank Inputs'!E7</f>
        <v>0.140084764586238</v>
      </c>
      <c r="S23" s="11" t="n">
        <f aca="false">R23-I23</f>
        <v>0.0433847645862381</v>
      </c>
    </row>
    <row r="24" customFormat="false" ht="15" hidden="false" customHeight="true" outlineLevel="0" collapsed="false">
      <c r="A24" s="16" t="str">
        <f aca="false">'Bank Inputs'!B8</f>
        <v>CEC Bank</v>
      </c>
      <c r="B24" s="16" t="str">
        <f aca="false">'Bank Inputs'!C8</f>
        <v>Core</v>
      </c>
      <c r="C24" s="11" t="n">
        <f aca="false">'Bank Inputs'!L8+$D$19</f>
        <v>0.0808410268693944</v>
      </c>
      <c r="D24" s="15" t="n">
        <f aca="false">$D$19*'Bank Inputs'!J8</f>
        <v>97.2862879299005</v>
      </c>
      <c r="E24" s="15" t="n">
        <f aca="false">D24*'Bank Inputs'!M8</f>
        <v>52.834519388696</v>
      </c>
      <c r="F24" s="19" t="n">
        <f aca="false">'Bank Inputs'!F8-E24</f>
        <v>1247.72222787919</v>
      </c>
      <c r="G24" s="20" t="n">
        <f aca="false">F24/'Bank Inputs'!E8</f>
        <v>0.229951529744097</v>
      </c>
      <c r="H24" s="20" t="n">
        <f aca="false">G24-'Bank Inputs'!R8</f>
        <v>-0.00973724622777264</v>
      </c>
      <c r="I24" s="21" t="n">
        <f aca="false">'Bank Inputs'!S8</f>
        <v>0.122</v>
      </c>
      <c r="J24" s="20" t="n">
        <f aca="false">G24-I24</f>
        <v>0.107951529744097</v>
      </c>
      <c r="K24" s="19" t="str">
        <f aca="false">IF(J24&lt;0,"YES","no")</f>
        <v>no</v>
      </c>
      <c r="L24" s="15" t="n">
        <f aca="false">'Bank Inputs'!P8*$F$19</f>
        <v>149.923563256867</v>
      </c>
      <c r="M24" s="15" t="n">
        <f aca="false">L24-E24</f>
        <v>97.089043868171</v>
      </c>
      <c r="N24" s="15" t="n">
        <f aca="false">MAX(M24,0)*Assumptions!$C$14</f>
        <v>29.1267131604513</v>
      </c>
      <c r="O24" s="15" t="n">
        <f aca="false">M24-N24</f>
        <v>67.9623307077197</v>
      </c>
      <c r="P24" s="15" t="n">
        <f aca="false">IF(O24&gt;0,O24*Assumptions!$C$16,Assumptions!$C$17*0)</f>
        <v>20.3886992123159</v>
      </c>
      <c r="Q24" s="15" t="n">
        <f aca="false">'Bank Inputs'!F8+O24-P24</f>
        <v>1348.13037876329</v>
      </c>
      <c r="R24" s="11" t="n">
        <f aca="false">Q24/'Bank Inputs'!E8</f>
        <v>0.248456456063972</v>
      </c>
      <c r="S24" s="11" t="n">
        <f aca="false">R24-I24</f>
        <v>0.126456456063972</v>
      </c>
    </row>
    <row r="25" customFormat="false" ht="15" hidden="false" customHeight="true" outlineLevel="0" collapsed="false">
      <c r="A25" s="16" t="str">
        <f aca="false">'Bank Inputs'!B9</f>
        <v>Commerzbank</v>
      </c>
      <c r="B25" s="16" t="str">
        <f aca="false">'Bank Inputs'!C9</f>
        <v>Core</v>
      </c>
      <c r="C25" s="11" t="n">
        <f aca="false">'Bank Inputs'!L9+$D$19</f>
        <v>0.0258959699823878</v>
      </c>
      <c r="D25" s="15" t="n">
        <f aca="false">$D$19*'Bank Inputs'!J9</f>
        <v>4348.6097382528</v>
      </c>
      <c r="E25" s="15" t="n">
        <f aca="false">D25*'Bank Inputs'!M9</f>
        <v>1899.5359722693</v>
      </c>
      <c r="F25" s="19" t="n">
        <f aca="false">'Bank Inputs'!F9-E25</f>
        <v>23742.4538839907</v>
      </c>
      <c r="G25" s="20" t="n">
        <f aca="false">F25/'Bank Inputs'!E9</f>
        <v>0.134804958034795</v>
      </c>
      <c r="H25" s="20" t="n">
        <f aca="false">G25-'Bank Inputs'!R9</f>
        <v>-0.0107851896134464</v>
      </c>
      <c r="I25" s="21" t="n">
        <f aca="false">'Bank Inputs'!S9</f>
        <v>0.1031</v>
      </c>
      <c r="J25" s="20" t="n">
        <f aca="false">G25-I25</f>
        <v>0.0317049580347953</v>
      </c>
      <c r="K25" s="19" t="str">
        <f aca="false">IF(J25&lt;0,"YES","no")</f>
        <v>no</v>
      </c>
      <c r="L25" s="15" t="n">
        <f aca="false">'Bank Inputs'!P9*$F$19</f>
        <v>3718.02625798</v>
      </c>
      <c r="M25" s="15" t="n">
        <f aca="false">L25-E25</f>
        <v>1818.4902857107</v>
      </c>
      <c r="N25" s="15" t="n">
        <f aca="false">MAX(M25,0)*Assumptions!$C$14</f>
        <v>545.547085713209</v>
      </c>
      <c r="O25" s="15" t="n">
        <f aca="false">M25-N25</f>
        <v>1272.94319999749</v>
      </c>
      <c r="P25" s="15" t="n">
        <f aca="false">IF(O25&gt;0,O25*Assumptions!$C$16,Assumptions!$C$17*0)</f>
        <v>381.882959999246</v>
      </c>
      <c r="Q25" s="15" t="n">
        <f aca="false">'Bank Inputs'!F9+O25-P25</f>
        <v>26533.0500962582</v>
      </c>
      <c r="R25" s="11" t="n">
        <f aca="false">Q25/'Bank Inputs'!E9</f>
        <v>0.150649411481978</v>
      </c>
      <c r="S25" s="11" t="n">
        <f aca="false">R25-I25</f>
        <v>0.0475494114819785</v>
      </c>
    </row>
    <row r="26" customFormat="false" ht="15" hidden="false" customHeight="true" outlineLevel="0" collapsed="false">
      <c r="A26" s="16" t="str">
        <f aca="false">'Bank Inputs'!B10</f>
        <v>Deutsche Bank</v>
      </c>
      <c r="B26" s="16" t="str">
        <f aca="false">'Bank Inputs'!C10</f>
        <v>Core</v>
      </c>
      <c r="C26" s="11" t="n">
        <f aca="false">'Bank Inputs'!L10+$D$19</f>
        <v>0.0323534581531834</v>
      </c>
      <c r="D26" s="15" t="n">
        <f aca="false">$D$19*'Bank Inputs'!J10</f>
        <v>8793.30164275354</v>
      </c>
      <c r="E26" s="15" t="n">
        <f aca="false">D26*'Bank Inputs'!M10</f>
        <v>2737.24223229109</v>
      </c>
      <c r="F26" s="19" t="n">
        <f aca="false">'Bank Inputs'!F10-E26</f>
        <v>45784.330710725</v>
      </c>
      <c r="G26" s="20" t="n">
        <f aca="false">F26/'Bank Inputs'!E10</f>
        <v>0.134341698081418</v>
      </c>
      <c r="H26" s="20" t="n">
        <f aca="false">G26-'Bank Inputs'!R10</f>
        <v>-0.00803169477063065</v>
      </c>
      <c r="I26" s="21" t="n">
        <f aca="false">'Bank Inputs'!S10</f>
        <v>0.1124</v>
      </c>
      <c r="J26" s="20" t="n">
        <f aca="false">G26-I26</f>
        <v>0.0219416980814175</v>
      </c>
      <c r="K26" s="19" t="str">
        <f aca="false">IF(J26&lt;0,"YES","no")</f>
        <v>no</v>
      </c>
      <c r="L26" s="15" t="n">
        <f aca="false">'Bank Inputs'!P10*$F$19</f>
        <v>10487.08769794</v>
      </c>
      <c r="M26" s="15" t="n">
        <f aca="false">L26-E26</f>
        <v>7749.84546564888</v>
      </c>
      <c r="N26" s="15" t="n">
        <f aca="false">MAX(M26,0)*Assumptions!$C$14</f>
        <v>2324.95363969466</v>
      </c>
      <c r="O26" s="15" t="n">
        <f aca="false">M26-N26</f>
        <v>5424.89182595421</v>
      </c>
      <c r="P26" s="15" t="n">
        <f aca="false">IF(O26&gt;0,O26*Assumptions!$C$16,Assumptions!$C$17*0)</f>
        <v>1627.46754778626</v>
      </c>
      <c r="Q26" s="15" t="n">
        <f aca="false">'Bank Inputs'!F10+O26-P26</f>
        <v>52318.9972211841</v>
      </c>
      <c r="R26" s="11" t="n">
        <f aca="false">Q26/'Bank Inputs'!E10</f>
        <v>0.153515904229749</v>
      </c>
      <c r="S26" s="11" t="n">
        <f aca="false">R26-I26</f>
        <v>0.0411159042297493</v>
      </c>
    </row>
    <row r="27" customFormat="false" ht="15" hidden="false" customHeight="true" outlineLevel="0" collapsed="false">
      <c r="A27" s="16" t="str">
        <f aca="false">'Bank Inputs'!B11</f>
        <v>Groupe Crédit Agricole</v>
      </c>
      <c r="B27" s="16" t="str">
        <f aca="false">'Bank Inputs'!C11</f>
        <v>Core</v>
      </c>
      <c r="C27" s="11" t="n">
        <f aca="false">'Bank Inputs'!L11+$D$19</f>
        <v>0.0316440786063854</v>
      </c>
      <c r="D27" s="15" t="n">
        <f aca="false">$D$19*'Bank Inputs'!J11</f>
        <v>16146.391830111</v>
      </c>
      <c r="E27" s="15" t="n">
        <f aca="false">D27*'Bank Inputs'!M11</f>
        <v>7889.58534146476</v>
      </c>
      <c r="F27" s="19" t="n">
        <f aca="false">'Bank Inputs'!F11-E27</f>
        <v>106217.663561394</v>
      </c>
      <c r="G27" s="20" t="n">
        <f aca="false">F27/'Bank Inputs'!E11</f>
        <v>0.163660255995778</v>
      </c>
      <c r="H27" s="20" t="n">
        <f aca="false">G27-'Bank Inputs'!R11</f>
        <v>-0.0121562790348738</v>
      </c>
      <c r="I27" s="21" t="n">
        <f aca="false">'Bank Inputs'!S11</f>
        <v>0.098</v>
      </c>
      <c r="J27" s="20" t="n">
        <f aca="false">G27-I27</f>
        <v>0.065660255995778</v>
      </c>
      <c r="K27" s="19" t="str">
        <f aca="false">IF(J27&lt;0,"YES","no")</f>
        <v>no</v>
      </c>
      <c r="L27" s="15" t="n">
        <f aca="false">'Bank Inputs'!P11*$F$19</f>
        <v>13333.63780968</v>
      </c>
      <c r="M27" s="15" t="n">
        <f aca="false">L27-E27</f>
        <v>5444.05246821524</v>
      </c>
      <c r="N27" s="15" t="n">
        <f aca="false">MAX(M27,0)*Assumptions!$C$14</f>
        <v>1633.21574046457</v>
      </c>
      <c r="O27" s="15" t="n">
        <f aca="false">M27-N27</f>
        <v>3810.83672775067</v>
      </c>
      <c r="P27" s="15" t="n">
        <f aca="false">IF(O27&gt;0,O27*Assumptions!$C$16,Assumptions!$C$17*0)</f>
        <v>1143.2510183252</v>
      </c>
      <c r="Q27" s="15" t="n">
        <f aca="false">'Bank Inputs'!F11+O27-P27</f>
        <v>116774.834612284</v>
      </c>
      <c r="R27" s="11" t="n">
        <f aca="false">Q27/'Bank Inputs'!E11</f>
        <v>0.179926753100389</v>
      </c>
      <c r="S27" s="11" t="n">
        <f aca="false">R27-I27</f>
        <v>0.0819267531003886</v>
      </c>
    </row>
    <row r="28" customFormat="false" ht="15" hidden="false" customHeight="true" outlineLevel="0" collapsed="false">
      <c r="A28" s="16" t="str">
        <f aca="false">'Bank Inputs'!B12</f>
        <v>HSBC Continental Europe</v>
      </c>
      <c r="B28" s="16" t="str">
        <f aca="false">'Bank Inputs'!C12</f>
        <v>Core</v>
      </c>
      <c r="C28" s="11" t="n">
        <f aca="false">'Bank Inputs'!L12+$D$19</f>
        <v>0.0275256652293169</v>
      </c>
      <c r="D28" s="15" t="n">
        <f aca="false">$D$19*'Bank Inputs'!J12</f>
        <v>1087.768656</v>
      </c>
      <c r="E28" s="15" t="n">
        <f aca="false">D28*'Bank Inputs'!M12</f>
        <v>285.959534385461</v>
      </c>
      <c r="F28" s="19" t="n">
        <f aca="false">'Bank Inputs'!F12-E28</f>
        <v>10175.3320976745</v>
      </c>
      <c r="G28" s="20" t="n">
        <f aca="false">F28/'Bank Inputs'!E12</f>
        <v>0.150500217177676</v>
      </c>
      <c r="H28" s="20" t="n">
        <f aca="false">G28-'Bank Inputs'!R12</f>
        <v>-0.00422953979446772</v>
      </c>
      <c r="I28" s="21" t="n">
        <f aca="false">'Bank Inputs'!S12</f>
        <v>0.097</v>
      </c>
      <c r="J28" s="20" t="n">
        <f aca="false">G28-I28</f>
        <v>0.0535002171776762</v>
      </c>
      <c r="K28" s="19" t="str">
        <f aca="false">IF(J28&lt;0,"YES","no")</f>
        <v>no</v>
      </c>
      <c r="L28" s="15" t="n">
        <f aca="false">'Bank Inputs'!P12*$F$19</f>
        <v>996.056</v>
      </c>
      <c r="M28" s="15" t="n">
        <f aca="false">L28-E28</f>
        <v>710.09646561454</v>
      </c>
      <c r="N28" s="15" t="n">
        <f aca="false">MAX(M28,0)*Assumptions!$C$14</f>
        <v>213.028939684362</v>
      </c>
      <c r="O28" s="15" t="n">
        <f aca="false">M28-N28</f>
        <v>497.067525930178</v>
      </c>
      <c r="P28" s="15" t="n">
        <f aca="false">IF(O28&gt;0,O28*Assumptions!$C$16,Assumptions!$C$17*0)</f>
        <v>149.120257779053</v>
      </c>
      <c r="Q28" s="15" t="n">
        <f aca="false">'Bank Inputs'!F12+O28-P28</f>
        <v>10809.2389002111</v>
      </c>
      <c r="R28" s="11" t="n">
        <f aca="false">Q28/'Bank Inputs'!E12</f>
        <v>0.159876138330556</v>
      </c>
      <c r="S28" s="11" t="n">
        <f aca="false">R28-I28</f>
        <v>0.0628761383305559</v>
      </c>
    </row>
    <row r="29" customFormat="false" ht="15" hidden="false" customHeight="true" outlineLevel="0" collapsed="false">
      <c r="A29" s="16" t="str">
        <f aca="false">'Bank Inputs'!B13</f>
        <v>ING Groep</v>
      </c>
      <c r="B29" s="16" t="str">
        <f aca="false">'Bank Inputs'!C13</f>
        <v>Core</v>
      </c>
      <c r="C29" s="11" t="n">
        <f aca="false">'Bank Inputs'!L13+$D$19</f>
        <v>0.0268883078258999</v>
      </c>
      <c r="D29" s="15" t="n">
        <f aca="false">$D$19*'Bank Inputs'!J13</f>
        <v>9937.584696</v>
      </c>
      <c r="E29" s="15" t="n">
        <f aca="false">D29*'Bank Inputs'!M13</f>
        <v>3372.42033058012</v>
      </c>
      <c r="F29" s="19" t="n">
        <f aca="false">'Bank Inputs'!F13-E29</f>
        <v>41161.6120655699</v>
      </c>
      <c r="G29" s="20" t="n">
        <f aca="false">F29/'Bank Inputs'!E13</f>
        <v>0.122576381415685</v>
      </c>
      <c r="H29" s="20" t="n">
        <f aca="false">G29-'Bank Inputs'!R13</f>
        <v>-0.0100428302000586</v>
      </c>
      <c r="I29" s="21" t="n">
        <f aca="false">'Bank Inputs'!S13</f>
        <v>0.1087</v>
      </c>
      <c r="J29" s="20" t="n">
        <f aca="false">G29-I29</f>
        <v>0.0138763814156852</v>
      </c>
      <c r="K29" s="19" t="str">
        <f aca="false">IF(J29&lt;0,"YES","no")</f>
        <v>no</v>
      </c>
      <c r="L29" s="15" t="n">
        <f aca="false">'Bank Inputs'!P13*$F$19</f>
        <v>8986.068</v>
      </c>
      <c r="M29" s="15" t="n">
        <f aca="false">L29-E29</f>
        <v>5613.64766941988</v>
      </c>
      <c r="N29" s="15" t="n">
        <f aca="false">MAX(M29,0)*Assumptions!$C$14</f>
        <v>1684.09430082596</v>
      </c>
      <c r="O29" s="15" t="n">
        <f aca="false">M29-N29</f>
        <v>3929.55336859391</v>
      </c>
      <c r="P29" s="15" t="n">
        <f aca="false">IF(O29&gt;0,O29*Assumptions!$C$16,Assumptions!$C$17*0)</f>
        <v>1178.86601057817</v>
      </c>
      <c r="Q29" s="15" t="n">
        <f aca="false">'Bank Inputs'!F13+O29-P29</f>
        <v>47284.7197541657</v>
      </c>
      <c r="R29" s="11" t="n">
        <f aca="false">Q29/'Bank Inputs'!E13</f>
        <v>0.140810564816739</v>
      </c>
      <c r="S29" s="11" t="n">
        <f aca="false">R29-I29</f>
        <v>0.0321105648167392</v>
      </c>
    </row>
    <row r="30" customFormat="false" ht="15" hidden="false" customHeight="true" outlineLevel="0" collapsed="false">
      <c r="A30" s="16" t="str">
        <f aca="false">'Bank Inputs'!B14</f>
        <v>Morgan Stanley Europe Holding SE</v>
      </c>
      <c r="B30" s="16" t="str">
        <f aca="false">'Bank Inputs'!C14</f>
        <v>Core</v>
      </c>
      <c r="C30" s="11" t="n">
        <f aca="false">'Bank Inputs'!L14+$D$19</f>
        <v>0.0121844481319011</v>
      </c>
      <c r="D30" s="15" t="n">
        <f aca="false">$D$19*'Bank Inputs'!J14</f>
        <v>453.14190465648</v>
      </c>
      <c r="E30" s="15" t="n">
        <f aca="false">D30*'Bank Inputs'!M14</f>
        <v>164.263475957802</v>
      </c>
      <c r="F30" s="19" t="n">
        <f aca="false">'Bank Inputs'!F14-E30</f>
        <v>6126.5139380422</v>
      </c>
      <c r="G30" s="20" t="n">
        <f aca="false">F30/'Bank Inputs'!E14</f>
        <v>0.175292934214068</v>
      </c>
      <c r="H30" s="20" t="n">
        <f aca="false">G30-'Bank Inputs'!R14</f>
        <v>-0.00469993653422532</v>
      </c>
      <c r="I30" s="21" t="n">
        <f aca="false">'Bank Inputs'!S14</f>
        <v>0.0956</v>
      </c>
      <c r="J30" s="20" t="n">
        <f aca="false">G30-I30</f>
        <v>0.0796929342140679</v>
      </c>
      <c r="K30" s="19" t="str">
        <f aca="false">IF(J30&lt;0,"YES","no")</f>
        <v>no</v>
      </c>
      <c r="L30" s="15" t="n">
        <f aca="false">'Bank Inputs'!P14*$F$19</f>
        <v>538.907710960006</v>
      </c>
      <c r="M30" s="15" t="n">
        <f aca="false">L30-E30</f>
        <v>374.644235002204</v>
      </c>
      <c r="N30" s="15" t="n">
        <f aca="false">MAX(M30,0)*Assumptions!$C$14</f>
        <v>112.393270500661</v>
      </c>
      <c r="O30" s="15" t="n">
        <f aca="false">M30-N30</f>
        <v>262.250964501543</v>
      </c>
      <c r="P30" s="15" t="n">
        <f aca="false">IF(O30&gt;0,O30*Assumptions!$C$16,Assumptions!$C$17*0)</f>
        <v>78.6752893504628</v>
      </c>
      <c r="Q30" s="15" t="n">
        <f aca="false">'Bank Inputs'!F14+O30-P30</f>
        <v>6474.35308915108</v>
      </c>
      <c r="R30" s="11" t="n">
        <f aca="false">Q30/'Bank Inputs'!E14</f>
        <v>0.185245371448201</v>
      </c>
      <c r="S30" s="11" t="n">
        <f aca="false">R30-I30</f>
        <v>0.089645371448201</v>
      </c>
    </row>
    <row r="31" customFormat="false" ht="15" hidden="false" customHeight="true" outlineLevel="0" collapsed="false">
      <c r="A31" s="16" t="str">
        <f aca="false">'Bank Inputs'!B15</f>
        <v>Revolut Holdings Europe</v>
      </c>
      <c r="B31" s="16" t="str">
        <f aca="false">'Bank Inputs'!C15</f>
        <v>Reference case</v>
      </c>
      <c r="C31" s="11" t="n">
        <f aca="false">'Bank Inputs'!L15+$D$19</f>
        <v>0.0200261583446791</v>
      </c>
      <c r="D31" s="15" t="n">
        <f aca="false">$D$19*'Bank Inputs'!J15</f>
        <v>85.36350857496</v>
      </c>
      <c r="E31" s="15" t="n">
        <f aca="false">D31*'Bank Inputs'!M15</f>
        <v>68.7539127365751</v>
      </c>
      <c r="F31" s="19" t="n">
        <f aca="false">'Bank Inputs'!F15-E31</f>
        <v>1228.40145026343</v>
      </c>
      <c r="G31" s="20" t="n">
        <f aca="false">F31/'Bank Inputs'!E15</f>
        <v>0.296635204337035</v>
      </c>
      <c r="H31" s="20" t="n">
        <f aca="false">G31-'Bank Inputs'!R15</f>
        <v>-0.0166027408622898</v>
      </c>
      <c r="I31" s="21" t="n">
        <f aca="false">'Bank Inputs'!S15</f>
        <v>0.0997</v>
      </c>
      <c r="J31" s="20" t="n">
        <f aca="false">G31-I31</f>
        <v>0.196935204337035</v>
      </c>
      <c r="K31" s="19" t="str">
        <f aca="false">IF(J31&lt;0,"YES","no")</f>
        <v>no</v>
      </c>
      <c r="L31" s="15" t="n">
        <f aca="false">'Bank Inputs'!P15*$F$19</f>
        <v>267.13360332</v>
      </c>
      <c r="M31" s="15" t="n">
        <f aca="false">L31-E31</f>
        <v>198.379690583425</v>
      </c>
      <c r="N31" s="15" t="n">
        <f aca="false">MAX(M31,0)*Assumptions!$C$14</f>
        <v>59.5139071750275</v>
      </c>
      <c r="O31" s="15" t="n">
        <f aca="false">M31-N31</f>
        <v>138.865783408397</v>
      </c>
      <c r="P31" s="15" t="n">
        <f aca="false">IF(O31&gt;0,O31*Assumptions!$C$16,Assumptions!$C$17*0)</f>
        <v>41.6597350225192</v>
      </c>
      <c r="Q31" s="15" t="n">
        <f aca="false">'Bank Inputs'!F15+O31-P31</f>
        <v>1394.36141138588</v>
      </c>
      <c r="R31" s="11" t="n">
        <f aca="false">Q31/'Bank Inputs'!E15</f>
        <v>0.336711326820258</v>
      </c>
      <c r="S31" s="11" t="n">
        <f aca="false">R31-I31</f>
        <v>0.237011326820258</v>
      </c>
    </row>
    <row r="34" customFormat="false" ht="15" hidden="false" customHeight="true" outlineLevel="0" collapsed="false">
      <c r="A34" s="3" t="s">
        <v>208</v>
      </c>
      <c r="C34" s="4" t="s">
        <v>189</v>
      </c>
      <c r="D34" s="17" t="n">
        <f aca="false">Assumptions!$C$28</f>
        <v>0.024</v>
      </c>
      <c r="E34" s="4" t="s">
        <v>190</v>
      </c>
      <c r="F34" s="18" t="n">
        <f aca="false">Assumptions!$D$28</f>
        <v>3</v>
      </c>
    </row>
    <row r="35" customFormat="false" ht="42" hidden="false" customHeight="true" outlineLevel="0" collapsed="false">
      <c r="A35" s="6" t="s">
        <v>107</v>
      </c>
      <c r="B35" s="6" t="s">
        <v>165</v>
      </c>
      <c r="C35" s="6" t="s">
        <v>191</v>
      </c>
      <c r="D35" s="6" t="s">
        <v>192</v>
      </c>
      <c r="E35" s="6" t="s">
        <v>193</v>
      </c>
      <c r="F35" s="6" t="s">
        <v>194</v>
      </c>
      <c r="G35" s="6" t="s">
        <v>195</v>
      </c>
      <c r="H35" s="6" t="s">
        <v>196</v>
      </c>
      <c r="I35" s="6" t="s">
        <v>72</v>
      </c>
      <c r="J35" s="6" t="s">
        <v>197</v>
      </c>
      <c r="K35" s="6" t="s">
        <v>198</v>
      </c>
      <c r="L35" s="6" t="s">
        <v>199</v>
      </c>
      <c r="M35" s="6" t="s">
        <v>200</v>
      </c>
      <c r="N35" s="6" t="s">
        <v>201</v>
      </c>
      <c r="O35" s="6" t="s">
        <v>202</v>
      </c>
      <c r="P35" s="6" t="s">
        <v>203</v>
      </c>
      <c r="Q35" s="6" t="s">
        <v>204</v>
      </c>
      <c r="R35" s="6" t="s">
        <v>205</v>
      </c>
      <c r="S35" s="6" t="s">
        <v>206</v>
      </c>
    </row>
    <row r="36" customFormat="false" ht="15" hidden="false" customHeight="true" outlineLevel="0" collapsed="false">
      <c r="A36" s="16" t="str">
        <f aca="false">'Bank Inputs'!B5</f>
        <v>BAWAG Group</v>
      </c>
      <c r="B36" s="16" t="str">
        <f aca="false">'Bank Inputs'!C5</f>
        <v>Core</v>
      </c>
      <c r="C36" s="11" t="n">
        <f aca="false">'Bank Inputs'!L5+$D$34</f>
        <v>0.0373294880926077</v>
      </c>
      <c r="D36" s="15" t="n">
        <f aca="false">$D$34*'Bank Inputs'!J5</f>
        <v>1197.9587424228</v>
      </c>
      <c r="E36" s="15" t="n">
        <f aca="false">D36*'Bank Inputs'!M5</f>
        <v>500.035056513266</v>
      </c>
      <c r="F36" s="19" t="n">
        <f aca="false">'Bank Inputs'!F5-E36</f>
        <v>2449.52887258673</v>
      </c>
      <c r="G36" s="20" t="n">
        <f aca="false">F36/'Bank Inputs'!E5</f>
        <v>0.104211138230348</v>
      </c>
      <c r="H36" s="20" t="n">
        <f aca="false">G36-'Bank Inputs'!R5</f>
        <v>-0.0212731611280401</v>
      </c>
      <c r="I36" s="21" t="n">
        <f aca="false">'Bank Inputs'!S5</f>
        <v>0.1033</v>
      </c>
      <c r="J36" s="20" t="n">
        <f aca="false">G36-I36</f>
        <v>0.000911138230348052</v>
      </c>
      <c r="K36" s="19" t="str">
        <f aca="false">IF(J36&lt;0,"YES","no")</f>
        <v>no</v>
      </c>
      <c r="L36" s="15" t="n">
        <f aca="false">'Bank Inputs'!P5*$F$34</f>
        <v>3290.5324737</v>
      </c>
      <c r="M36" s="15" t="n">
        <f aca="false">L36-E36</f>
        <v>2790.49741718673</v>
      </c>
      <c r="N36" s="15" t="n">
        <f aca="false">MAX(M36,0)*Assumptions!$C$14</f>
        <v>837.14922515602</v>
      </c>
      <c r="O36" s="15" t="n">
        <f aca="false">M36-N36</f>
        <v>1953.34819203071</v>
      </c>
      <c r="P36" s="15" t="n">
        <f aca="false">IF(O36&gt;0,O36*Assumptions!$C$16,Assumptions!$C$17*0)</f>
        <v>586.004457609214</v>
      </c>
      <c r="Q36" s="15" t="n">
        <f aca="false">'Bank Inputs'!F5+O36-P36</f>
        <v>4316.9076635215</v>
      </c>
      <c r="R36" s="11" t="n">
        <f aca="false">Q36/'Bank Inputs'!E5</f>
        <v>0.183655667947208</v>
      </c>
      <c r="S36" s="11" t="n">
        <f aca="false">R36-I36</f>
        <v>0.0803556679472079</v>
      </c>
    </row>
    <row r="37" customFormat="false" ht="15" hidden="false" customHeight="true" outlineLevel="0" collapsed="false">
      <c r="A37" s="16" t="str">
        <f aca="false">'Bank Inputs'!B6</f>
        <v>BNP Paribas</v>
      </c>
      <c r="B37" s="16" t="str">
        <f aca="false">'Bank Inputs'!C6</f>
        <v>Core</v>
      </c>
      <c r="C37" s="11" t="n">
        <f aca="false">'Bank Inputs'!L6+$D$34</f>
        <v>0.0518849206650096</v>
      </c>
      <c r="D37" s="15" t="n">
        <f aca="false">$D$34*'Bank Inputs'!J6</f>
        <v>23126.8334964</v>
      </c>
      <c r="E37" s="15" t="n">
        <f aca="false">D37*'Bank Inputs'!M6</f>
        <v>11217.6671865705</v>
      </c>
      <c r="F37" s="19" t="n">
        <f aca="false">'Bank Inputs'!F6-E37</f>
        <v>87062.8972424295</v>
      </c>
      <c r="G37" s="20" t="n">
        <f aca="false">F37/'Bank Inputs'!E6</f>
        <v>0.110366921857693</v>
      </c>
      <c r="H37" s="20" t="n">
        <f aca="false">G37-'Bank Inputs'!R6</f>
        <v>-0.014220287137452</v>
      </c>
      <c r="I37" s="21" t="n">
        <f aca="false">'Bank Inputs'!S6</f>
        <v>0.1029</v>
      </c>
      <c r="J37" s="20" t="n">
        <f aca="false">G37-I37</f>
        <v>0.00746692185769253</v>
      </c>
      <c r="K37" s="19" t="str">
        <f aca="false">IF(J37&lt;0,"YES","no")</f>
        <v>no</v>
      </c>
      <c r="L37" s="15" t="n">
        <f aca="false">'Bank Inputs'!P6*$F$34</f>
        <v>51892.034916</v>
      </c>
      <c r="M37" s="15" t="n">
        <f aca="false">L37-E37</f>
        <v>40674.3677294295</v>
      </c>
      <c r="N37" s="15" t="n">
        <f aca="false">MAX(M37,0)*Assumptions!$C$14</f>
        <v>12202.3103188288</v>
      </c>
      <c r="O37" s="15" t="n">
        <f aca="false">M37-N37</f>
        <v>28472.0574106006</v>
      </c>
      <c r="P37" s="15" t="n">
        <f aca="false">IF(O37&gt;0,O37*Assumptions!$C$16,Assumptions!$C$17*0)</f>
        <v>8541.61722318019</v>
      </c>
      <c r="Q37" s="15" t="n">
        <f aca="false">'Bank Inputs'!F6+O37-P37</f>
        <v>118211.00461642</v>
      </c>
      <c r="R37" s="11" t="n">
        <f aca="false">Q37/'Bank Inputs'!E6</f>
        <v>0.149852406966094</v>
      </c>
      <c r="S37" s="11" t="n">
        <f aca="false">R37-I37</f>
        <v>0.0469524069660944</v>
      </c>
    </row>
    <row r="38" customFormat="false" ht="15" hidden="false" customHeight="true" outlineLevel="0" collapsed="false">
      <c r="A38" s="16" t="str">
        <f aca="false">'Bank Inputs'!B7</f>
        <v>Banco Santander</v>
      </c>
      <c r="B38" s="16" t="str">
        <f aca="false">'Bank Inputs'!C7</f>
        <v>Core</v>
      </c>
      <c r="C38" s="11" t="n">
        <f aca="false">'Bank Inputs'!L7+$D$34</f>
        <v>0.0574620739090728</v>
      </c>
      <c r="D38" s="15" t="n">
        <f aca="false">$D$34*'Bank Inputs'!J7</f>
        <v>25766.092632</v>
      </c>
      <c r="E38" s="15" t="n">
        <f aca="false">D38*'Bank Inputs'!M7</f>
        <v>10216.2083835249</v>
      </c>
      <c r="F38" s="19" t="n">
        <f aca="false">'Bank Inputs'!F7-E38</f>
        <v>71036.6984414751</v>
      </c>
      <c r="G38" s="20" t="n">
        <f aca="false">F38/'Bank Inputs'!E7</f>
        <v>0.11352244196438</v>
      </c>
      <c r="H38" s="20" t="n">
        <f aca="false">G38-'Bank Inputs'!R7</f>
        <v>-0.0163263348207296</v>
      </c>
      <c r="I38" s="21" t="n">
        <f aca="false">'Bank Inputs'!S7</f>
        <v>0.0967</v>
      </c>
      <c r="J38" s="20" t="n">
        <f aca="false">G38-I38</f>
        <v>0.01682244196438</v>
      </c>
      <c r="K38" s="19" t="str">
        <f aca="false">IF(J38&lt;0,"YES","no")</f>
        <v>no</v>
      </c>
      <c r="L38" s="15" t="n">
        <f aca="false">'Bank Inputs'!P7*$F$34</f>
        <v>54539.652</v>
      </c>
      <c r="M38" s="15" t="n">
        <f aca="false">L38-E38</f>
        <v>44323.4436164751</v>
      </c>
      <c r="N38" s="15" t="n">
        <f aca="false">MAX(M38,0)*Assumptions!$C$14</f>
        <v>13297.0330849425</v>
      </c>
      <c r="O38" s="15" t="n">
        <f aca="false">M38-N38</f>
        <v>31026.4105315326</v>
      </c>
      <c r="P38" s="15" t="n">
        <f aca="false">IF(O38&gt;0,O38*Assumptions!$C$16,Assumptions!$C$17*0)</f>
        <v>9307.92315945976</v>
      </c>
      <c r="Q38" s="15" t="n">
        <f aca="false">'Bank Inputs'!F7+O38-P38</f>
        <v>102971.394197073</v>
      </c>
      <c r="R38" s="11" t="n">
        <f aca="false">Q38/'Bank Inputs'!E7</f>
        <v>0.164556692219574</v>
      </c>
      <c r="S38" s="11" t="n">
        <f aca="false">R38-I38</f>
        <v>0.0678566922195738</v>
      </c>
    </row>
    <row r="39" customFormat="false" ht="15" hidden="false" customHeight="true" outlineLevel="0" collapsed="false">
      <c r="A39" s="16" t="str">
        <f aca="false">'Bank Inputs'!B8</f>
        <v>CEC Bank</v>
      </c>
      <c r="B39" s="16" t="str">
        <f aca="false">'Bank Inputs'!C8</f>
        <v>Core</v>
      </c>
      <c r="C39" s="11" t="n">
        <f aca="false">'Bank Inputs'!L8+$D$34</f>
        <v>0.0928410268693944</v>
      </c>
      <c r="D39" s="15" t="n">
        <f aca="false">$D$34*'Bank Inputs'!J8</f>
        <v>194.572575859801</v>
      </c>
      <c r="E39" s="15" t="n">
        <f aca="false">D39*'Bank Inputs'!M8</f>
        <v>105.669038777392</v>
      </c>
      <c r="F39" s="19" t="n">
        <f aca="false">'Bank Inputs'!F8-E39</f>
        <v>1194.8877084905</v>
      </c>
      <c r="G39" s="20" t="n">
        <f aca="false">F39/'Bank Inputs'!E8</f>
        <v>0.220214283516324</v>
      </c>
      <c r="H39" s="20" t="n">
        <f aca="false">G39-'Bank Inputs'!R8</f>
        <v>-0.0194744924555453</v>
      </c>
      <c r="I39" s="21" t="n">
        <f aca="false">'Bank Inputs'!S8</f>
        <v>0.122</v>
      </c>
      <c r="J39" s="20" t="n">
        <f aca="false">G39-I39</f>
        <v>0.098214283516324</v>
      </c>
      <c r="K39" s="19" t="str">
        <f aca="false">IF(J39&lt;0,"YES","no")</f>
        <v>no</v>
      </c>
      <c r="L39" s="15" t="n">
        <f aca="false">'Bank Inputs'!P8*$F$34</f>
        <v>449.770689770601</v>
      </c>
      <c r="M39" s="15" t="n">
        <f aca="false">L39-E39</f>
        <v>344.101650993209</v>
      </c>
      <c r="N39" s="15" t="n">
        <f aca="false">MAX(M39,0)*Assumptions!$C$14</f>
        <v>103.230495297963</v>
      </c>
      <c r="O39" s="15" t="n">
        <f aca="false">M39-N39</f>
        <v>240.871155695246</v>
      </c>
      <c r="P39" s="15" t="n">
        <f aca="false">IF(O39&gt;0,O39*Assumptions!$C$16,Assumptions!$C$17*0)</f>
        <v>72.2613467085739</v>
      </c>
      <c r="Q39" s="15" t="n">
        <f aca="false">'Bank Inputs'!F8+O39-P39</f>
        <v>1469.16655625456</v>
      </c>
      <c r="R39" s="11" t="n">
        <f aca="false">Q39/'Bank Inputs'!E8</f>
        <v>0.270763066899785</v>
      </c>
      <c r="S39" s="11" t="n">
        <f aca="false">R39-I39</f>
        <v>0.148763066899785</v>
      </c>
    </row>
    <row r="40" customFormat="false" ht="15" hidden="false" customHeight="true" outlineLevel="0" collapsed="false">
      <c r="A40" s="16" t="str">
        <f aca="false">'Bank Inputs'!B9</f>
        <v>Commerzbank</v>
      </c>
      <c r="B40" s="16" t="str">
        <f aca="false">'Bank Inputs'!C9</f>
        <v>Core</v>
      </c>
      <c r="C40" s="11" t="n">
        <f aca="false">'Bank Inputs'!L9+$D$34</f>
        <v>0.0378959699823878</v>
      </c>
      <c r="D40" s="15" t="n">
        <f aca="false">$D$34*'Bank Inputs'!J9</f>
        <v>8697.2194765056</v>
      </c>
      <c r="E40" s="15" t="n">
        <f aca="false">D40*'Bank Inputs'!M9</f>
        <v>3799.07194453861</v>
      </c>
      <c r="F40" s="19" t="n">
        <f aca="false">'Bank Inputs'!F9-E40</f>
        <v>21842.9179117214</v>
      </c>
      <c r="G40" s="20" t="n">
        <f aca="false">F40/'Bank Inputs'!E9</f>
        <v>0.124019768421349</v>
      </c>
      <c r="H40" s="20" t="n">
        <f aca="false">G40-'Bank Inputs'!R9</f>
        <v>-0.0215703792268929</v>
      </c>
      <c r="I40" s="21" t="n">
        <f aca="false">'Bank Inputs'!S9</f>
        <v>0.1031</v>
      </c>
      <c r="J40" s="20" t="n">
        <f aca="false">G40-I40</f>
        <v>0.0209197684213488</v>
      </c>
      <c r="K40" s="19" t="str">
        <f aca="false">IF(J40&lt;0,"YES","no")</f>
        <v>no</v>
      </c>
      <c r="L40" s="15" t="n">
        <f aca="false">'Bank Inputs'!P9*$F$34</f>
        <v>11154.07877394</v>
      </c>
      <c r="M40" s="15" t="n">
        <f aca="false">L40-E40</f>
        <v>7355.00682940139</v>
      </c>
      <c r="N40" s="15" t="n">
        <f aca="false">MAX(M40,0)*Assumptions!$C$14</f>
        <v>2206.50204882042</v>
      </c>
      <c r="O40" s="15" t="n">
        <f aca="false">M40-N40</f>
        <v>5148.50478058097</v>
      </c>
      <c r="P40" s="15" t="n">
        <f aca="false">IF(O40&gt;0,O40*Assumptions!$C$16,Assumptions!$C$17*0)</f>
        <v>1544.55143417429</v>
      </c>
      <c r="Q40" s="15" t="n">
        <f aca="false">'Bank Inputs'!F9+O40-P40</f>
        <v>29245.9432026667</v>
      </c>
      <c r="R40" s="11" t="n">
        <f aca="false">Q40/'Bank Inputs'!E9</f>
        <v>0.166052682060041</v>
      </c>
      <c r="S40" s="11" t="n">
        <f aca="false">R40-I40</f>
        <v>0.0629526820600408</v>
      </c>
    </row>
    <row r="41" customFormat="false" ht="15" hidden="false" customHeight="true" outlineLevel="0" collapsed="false">
      <c r="A41" s="16" t="str">
        <f aca="false">'Bank Inputs'!B10</f>
        <v>Deutsche Bank</v>
      </c>
      <c r="B41" s="16" t="str">
        <f aca="false">'Bank Inputs'!C10</f>
        <v>Core</v>
      </c>
      <c r="C41" s="11" t="n">
        <f aca="false">'Bank Inputs'!L10+$D$34</f>
        <v>0.0443534581531834</v>
      </c>
      <c r="D41" s="15" t="n">
        <f aca="false">$D$34*'Bank Inputs'!J10</f>
        <v>17586.6032855071</v>
      </c>
      <c r="E41" s="15" t="n">
        <f aca="false">D41*'Bank Inputs'!M10</f>
        <v>5474.48446458217</v>
      </c>
      <c r="F41" s="19" t="n">
        <f aca="false">'Bank Inputs'!F10-E41</f>
        <v>43047.0884784339</v>
      </c>
      <c r="G41" s="20" t="n">
        <f aca="false">F41/'Bank Inputs'!E10</f>
        <v>0.126310003310787</v>
      </c>
      <c r="H41" s="20" t="n">
        <f aca="false">G41-'Bank Inputs'!R10</f>
        <v>-0.0160633895412613</v>
      </c>
      <c r="I41" s="21" t="n">
        <f aca="false">'Bank Inputs'!S10</f>
        <v>0.1124</v>
      </c>
      <c r="J41" s="20" t="n">
        <f aca="false">G41-I41</f>
        <v>0.0139100033107869</v>
      </c>
      <c r="K41" s="19" t="str">
        <f aca="false">IF(J41&lt;0,"YES","no")</f>
        <v>no</v>
      </c>
      <c r="L41" s="15" t="n">
        <f aca="false">'Bank Inputs'!P10*$F$34</f>
        <v>31461.2630938199</v>
      </c>
      <c r="M41" s="15" t="n">
        <f aca="false">L41-E41</f>
        <v>25986.7786292377</v>
      </c>
      <c r="N41" s="15" t="n">
        <f aca="false">MAX(M41,0)*Assumptions!$C$14</f>
        <v>7796.03358877131</v>
      </c>
      <c r="O41" s="15" t="n">
        <f aca="false">M41-N41</f>
        <v>18190.7450404664</v>
      </c>
      <c r="P41" s="15" t="n">
        <f aca="false">IF(O41&gt;0,O41*Assumptions!$C$16,Assumptions!$C$17*0)</f>
        <v>5457.22351213992</v>
      </c>
      <c r="Q41" s="15" t="n">
        <f aca="false">'Bank Inputs'!F10+O41-P41</f>
        <v>61255.0944713426</v>
      </c>
      <c r="R41" s="11" t="n">
        <f aca="false">Q41/'Bank Inputs'!E10</f>
        <v>0.17973645742276</v>
      </c>
      <c r="S41" s="11" t="n">
        <f aca="false">R41-I41</f>
        <v>0.0673364574227605</v>
      </c>
    </row>
    <row r="42" customFormat="false" ht="15" hidden="false" customHeight="true" outlineLevel="0" collapsed="false">
      <c r="A42" s="16" t="str">
        <f aca="false">'Bank Inputs'!B11</f>
        <v>Groupe Crédit Agricole</v>
      </c>
      <c r="B42" s="16" t="str">
        <f aca="false">'Bank Inputs'!C11</f>
        <v>Core</v>
      </c>
      <c r="C42" s="11" t="n">
        <f aca="false">'Bank Inputs'!L11+$D$34</f>
        <v>0.0436440786063854</v>
      </c>
      <c r="D42" s="15" t="n">
        <f aca="false">$D$34*'Bank Inputs'!J11</f>
        <v>32292.783660222</v>
      </c>
      <c r="E42" s="15" t="n">
        <f aca="false">D42*'Bank Inputs'!M11</f>
        <v>15779.1706829295</v>
      </c>
      <c r="F42" s="19" t="n">
        <f aca="false">'Bank Inputs'!F11-E42</f>
        <v>98328.0782199295</v>
      </c>
      <c r="G42" s="20" t="n">
        <f aca="false">F42/'Bank Inputs'!E11</f>
        <v>0.151503976960904</v>
      </c>
      <c r="H42" s="20" t="n">
        <f aca="false">G42-'Bank Inputs'!R11</f>
        <v>-0.0243125580697477</v>
      </c>
      <c r="I42" s="21" t="n">
        <f aca="false">'Bank Inputs'!S11</f>
        <v>0.098</v>
      </c>
      <c r="J42" s="20" t="n">
        <f aca="false">G42-I42</f>
        <v>0.0535039769609042</v>
      </c>
      <c r="K42" s="19" t="str">
        <f aca="false">IF(J42&lt;0,"YES","no")</f>
        <v>no</v>
      </c>
      <c r="L42" s="15" t="n">
        <f aca="false">'Bank Inputs'!P11*$F$34</f>
        <v>40000.91342904</v>
      </c>
      <c r="M42" s="15" t="n">
        <f aca="false">L42-E42</f>
        <v>24221.7427461105</v>
      </c>
      <c r="N42" s="15" t="n">
        <f aca="false">MAX(M42,0)*Assumptions!$C$14</f>
        <v>7266.52282383314</v>
      </c>
      <c r="O42" s="15" t="n">
        <f aca="false">M42-N42</f>
        <v>16955.2199222773</v>
      </c>
      <c r="P42" s="15" t="n">
        <f aca="false">IF(O42&gt;0,O42*Assumptions!$C$16,Assumptions!$C$17*0)</f>
        <v>5086.5659766832</v>
      </c>
      <c r="Q42" s="15" t="n">
        <f aca="false">'Bank Inputs'!F11+O42-P42</f>
        <v>125975.902848453</v>
      </c>
      <c r="R42" s="11" t="n">
        <f aca="false">Q42/'Bank Inputs'!E11</f>
        <v>0.19410376596695</v>
      </c>
      <c r="S42" s="11" t="n">
        <f aca="false">R42-I42</f>
        <v>0.0961037659669501</v>
      </c>
    </row>
    <row r="43" customFormat="false" ht="15" hidden="false" customHeight="true" outlineLevel="0" collapsed="false">
      <c r="A43" s="16" t="str">
        <f aca="false">'Bank Inputs'!B12</f>
        <v>HSBC Continental Europe</v>
      </c>
      <c r="B43" s="16" t="str">
        <f aca="false">'Bank Inputs'!C12</f>
        <v>Core</v>
      </c>
      <c r="C43" s="11" t="n">
        <f aca="false">'Bank Inputs'!L12+$D$34</f>
        <v>0.0395256652293169</v>
      </c>
      <c r="D43" s="15" t="n">
        <f aca="false">$D$34*'Bank Inputs'!J12</f>
        <v>2175.537312</v>
      </c>
      <c r="E43" s="15" t="n">
        <f aca="false">D43*'Bank Inputs'!M12</f>
        <v>571.919068770921</v>
      </c>
      <c r="F43" s="19" t="n">
        <f aca="false">'Bank Inputs'!F12-E43</f>
        <v>9889.37256328908</v>
      </c>
      <c r="G43" s="20" t="n">
        <f aca="false">F43/'Bank Inputs'!E12</f>
        <v>0.146270677383209</v>
      </c>
      <c r="H43" s="20" t="n">
        <f aca="false">G43-'Bank Inputs'!R12</f>
        <v>-0.00845907958893544</v>
      </c>
      <c r="I43" s="21" t="n">
        <f aca="false">'Bank Inputs'!S12</f>
        <v>0.097</v>
      </c>
      <c r="J43" s="20" t="n">
        <f aca="false">G43-I43</f>
        <v>0.0492706773832085</v>
      </c>
      <c r="K43" s="19" t="str">
        <f aca="false">IF(J43&lt;0,"YES","no")</f>
        <v>no</v>
      </c>
      <c r="L43" s="15" t="n">
        <f aca="false">'Bank Inputs'!P12*$F$34</f>
        <v>2988.168</v>
      </c>
      <c r="M43" s="15" t="n">
        <f aca="false">L43-E43</f>
        <v>2416.24893122908</v>
      </c>
      <c r="N43" s="15" t="n">
        <f aca="false">MAX(M43,0)*Assumptions!$C$14</f>
        <v>724.874679368724</v>
      </c>
      <c r="O43" s="15" t="n">
        <f aca="false">M43-N43</f>
        <v>1691.37425186036</v>
      </c>
      <c r="P43" s="15" t="n">
        <f aca="false">IF(O43&gt;0,O43*Assumptions!$C$16,Assumptions!$C$17*0)</f>
        <v>507.412275558107</v>
      </c>
      <c r="Q43" s="15" t="n">
        <f aca="false">'Bank Inputs'!F12+O43-P43</f>
        <v>11645.2536083622</v>
      </c>
      <c r="R43" s="11" t="n">
        <f aca="false">Q43/'Bank Inputs'!E12</f>
        <v>0.172241375546669</v>
      </c>
      <c r="S43" s="11" t="n">
        <f aca="false">R43-I43</f>
        <v>0.0752413755466691</v>
      </c>
    </row>
    <row r="44" customFormat="false" ht="15" hidden="false" customHeight="true" outlineLevel="0" collapsed="false">
      <c r="A44" s="16" t="str">
        <f aca="false">'Bank Inputs'!B13</f>
        <v>ING Groep</v>
      </c>
      <c r="B44" s="16" t="str">
        <f aca="false">'Bank Inputs'!C13</f>
        <v>Core</v>
      </c>
      <c r="C44" s="11" t="n">
        <f aca="false">'Bank Inputs'!L13+$D$34</f>
        <v>0.0388883078258999</v>
      </c>
      <c r="D44" s="15" t="n">
        <f aca="false">$D$34*'Bank Inputs'!J13</f>
        <v>19875.169392</v>
      </c>
      <c r="E44" s="15" t="n">
        <f aca="false">D44*'Bank Inputs'!M13</f>
        <v>6744.84066116024</v>
      </c>
      <c r="F44" s="19" t="n">
        <f aca="false">'Bank Inputs'!F13-E44</f>
        <v>37789.1917349898</v>
      </c>
      <c r="G44" s="20" t="n">
        <f aca="false">F44/'Bank Inputs'!E13</f>
        <v>0.112533551215627</v>
      </c>
      <c r="H44" s="20" t="n">
        <f aca="false">G44-'Bank Inputs'!R13</f>
        <v>-0.0200856604001171</v>
      </c>
      <c r="I44" s="21" t="n">
        <f aca="false">'Bank Inputs'!S13</f>
        <v>0.1087</v>
      </c>
      <c r="J44" s="20" t="n">
        <f aca="false">G44-I44</f>
        <v>0.0038335512156266</v>
      </c>
      <c r="K44" s="19" t="str">
        <f aca="false">IF(J44&lt;0,"YES","no")</f>
        <v>no</v>
      </c>
      <c r="L44" s="15" t="n">
        <f aca="false">'Bank Inputs'!P13*$F$34</f>
        <v>26958.204</v>
      </c>
      <c r="M44" s="15" t="n">
        <f aca="false">L44-E44</f>
        <v>20213.3633388398</v>
      </c>
      <c r="N44" s="15" t="n">
        <f aca="false">MAX(M44,0)*Assumptions!$C$14</f>
        <v>6064.00900165193</v>
      </c>
      <c r="O44" s="15" t="n">
        <f aca="false">M44-N44</f>
        <v>14149.3543371878</v>
      </c>
      <c r="P44" s="15" t="n">
        <f aca="false">IF(O44&gt;0,O44*Assumptions!$C$16,Assumptions!$C$17*0)</f>
        <v>4244.80630115635</v>
      </c>
      <c r="Q44" s="15" t="n">
        <f aca="false">'Bank Inputs'!F13+O44-P44</f>
        <v>54438.5804321815</v>
      </c>
      <c r="R44" s="11" t="n">
        <f aca="false">Q44/'Bank Inputs'!E13</f>
        <v>0.162114258016759</v>
      </c>
      <c r="S44" s="11" t="n">
        <f aca="false">R44-I44</f>
        <v>0.0534142580167589</v>
      </c>
    </row>
    <row r="45" customFormat="false" ht="15" hidden="false" customHeight="true" outlineLevel="0" collapsed="false">
      <c r="A45" s="16" t="str">
        <f aca="false">'Bank Inputs'!B14</f>
        <v>Morgan Stanley Europe Holding SE</v>
      </c>
      <c r="B45" s="16" t="str">
        <f aca="false">'Bank Inputs'!C14</f>
        <v>Core</v>
      </c>
      <c r="C45" s="11" t="n">
        <f aca="false">'Bank Inputs'!L14+$D$34</f>
        <v>0.0241844481319011</v>
      </c>
      <c r="D45" s="15" t="n">
        <f aca="false">$D$34*'Bank Inputs'!J14</f>
        <v>906.28380931296</v>
      </c>
      <c r="E45" s="15" t="n">
        <f aca="false">D45*'Bank Inputs'!M14</f>
        <v>328.526951915604</v>
      </c>
      <c r="F45" s="19" t="n">
        <f aca="false">'Bank Inputs'!F14-E45</f>
        <v>5962.2504620844</v>
      </c>
      <c r="G45" s="20" t="n">
        <f aca="false">F45/'Bank Inputs'!E14</f>
        <v>0.170592997679843</v>
      </c>
      <c r="H45" s="20" t="n">
        <f aca="false">G45-'Bank Inputs'!R14</f>
        <v>-0.00939987306845064</v>
      </c>
      <c r="I45" s="21" t="n">
        <f aca="false">'Bank Inputs'!S14</f>
        <v>0.0956</v>
      </c>
      <c r="J45" s="20" t="n">
        <f aca="false">G45-I45</f>
        <v>0.0749929976798426</v>
      </c>
      <c r="K45" s="19" t="str">
        <f aca="false">IF(J45&lt;0,"YES","no")</f>
        <v>no</v>
      </c>
      <c r="L45" s="15" t="n">
        <f aca="false">'Bank Inputs'!P14*$F$34</f>
        <v>1616.72313288002</v>
      </c>
      <c r="M45" s="15" t="n">
        <f aca="false">L45-E45</f>
        <v>1288.19618096441</v>
      </c>
      <c r="N45" s="15" t="n">
        <f aca="false">MAX(M45,0)*Assumptions!$C$14</f>
        <v>386.458854289324</v>
      </c>
      <c r="O45" s="15" t="n">
        <f aca="false">M45-N45</f>
        <v>901.73732667509</v>
      </c>
      <c r="P45" s="15" t="n">
        <f aca="false">IF(O45&gt;0,O45*Assumptions!$C$16,Assumptions!$C$17*0)</f>
        <v>270.521198002527</v>
      </c>
      <c r="Q45" s="15" t="n">
        <f aca="false">'Bank Inputs'!F14+O45-P45</f>
        <v>6921.99354267256</v>
      </c>
      <c r="R45" s="11" t="n">
        <f aca="false">Q45/'Bank Inputs'!E14</f>
        <v>0.198053341749787</v>
      </c>
      <c r="S45" s="11" t="n">
        <f aca="false">R45-I45</f>
        <v>0.102453341749787</v>
      </c>
    </row>
    <row r="46" customFormat="false" ht="15" hidden="false" customHeight="true" outlineLevel="0" collapsed="false">
      <c r="A46" s="16" t="str">
        <f aca="false">'Bank Inputs'!B15</f>
        <v>Revolut Holdings Europe</v>
      </c>
      <c r="B46" s="16" t="str">
        <f aca="false">'Bank Inputs'!C15</f>
        <v>Reference case</v>
      </c>
      <c r="C46" s="11" t="n">
        <f aca="false">'Bank Inputs'!L15+$D$34</f>
        <v>0.0320261583446791</v>
      </c>
      <c r="D46" s="15" t="n">
        <f aca="false">$D$34*'Bank Inputs'!J15</f>
        <v>170.72701714992</v>
      </c>
      <c r="E46" s="15" t="n">
        <f aca="false">D46*'Bank Inputs'!M15</f>
        <v>137.50782547315</v>
      </c>
      <c r="F46" s="19" t="n">
        <f aca="false">'Bank Inputs'!F15-E46</f>
        <v>1159.64753752685</v>
      </c>
      <c r="G46" s="20" t="n">
        <f aca="false">F46/'Bank Inputs'!E15</f>
        <v>0.280032463474745</v>
      </c>
      <c r="H46" s="20" t="n">
        <f aca="false">G46-'Bank Inputs'!R15</f>
        <v>-0.0332054817245797</v>
      </c>
      <c r="I46" s="21" t="n">
        <f aca="false">'Bank Inputs'!S15</f>
        <v>0.0997</v>
      </c>
      <c r="J46" s="20" t="n">
        <f aca="false">G46-I46</f>
        <v>0.180332463474745</v>
      </c>
      <c r="K46" s="19" t="str">
        <f aca="false">IF(J46&lt;0,"YES","no")</f>
        <v>no</v>
      </c>
      <c r="L46" s="15" t="n">
        <f aca="false">'Bank Inputs'!P15*$F$34</f>
        <v>801.40080996</v>
      </c>
      <c r="M46" s="15" t="n">
        <f aca="false">L46-E46</f>
        <v>663.89298448685</v>
      </c>
      <c r="N46" s="15" t="n">
        <f aca="false">MAX(M46,0)*Assumptions!$C$14</f>
        <v>199.167895346055</v>
      </c>
      <c r="O46" s="15" t="n">
        <f aca="false">M46-N46</f>
        <v>464.725089140795</v>
      </c>
      <c r="P46" s="15" t="n">
        <f aca="false">IF(O46&gt;0,O46*Assumptions!$C$16,Assumptions!$C$17*0)</f>
        <v>139.417526742238</v>
      </c>
      <c r="Q46" s="15" t="n">
        <f aca="false">'Bank Inputs'!F15+O46-P46</f>
        <v>1622.46292539856</v>
      </c>
      <c r="R46" s="11" t="n">
        <f aca="false">Q46/'Bank Inputs'!E15</f>
        <v>0.391793433084646</v>
      </c>
      <c r="S46" s="11" t="n">
        <f aca="false">R46-I46</f>
        <v>0.292093433084645</v>
      </c>
    </row>
    <row r="49" customFormat="false" ht="15" hidden="false" customHeight="true" outlineLevel="0" collapsed="false">
      <c r="A49" s="3" t="s">
        <v>209</v>
      </c>
      <c r="C49" s="4" t="s">
        <v>189</v>
      </c>
      <c r="D49" s="17" t="n">
        <f aca="false">Assumptions!$C$29</f>
        <v>0.041</v>
      </c>
      <c r="E49" s="4" t="s">
        <v>190</v>
      </c>
      <c r="F49" s="18" t="n">
        <f aca="false">Assumptions!$D$29</f>
        <v>3</v>
      </c>
    </row>
    <row r="50" customFormat="false" ht="42" hidden="false" customHeight="true" outlineLevel="0" collapsed="false">
      <c r="A50" s="6" t="s">
        <v>107</v>
      </c>
      <c r="B50" s="6" t="s">
        <v>165</v>
      </c>
      <c r="C50" s="6" t="s">
        <v>191</v>
      </c>
      <c r="D50" s="6" t="s">
        <v>192</v>
      </c>
      <c r="E50" s="6" t="s">
        <v>193</v>
      </c>
      <c r="F50" s="6" t="s">
        <v>194</v>
      </c>
      <c r="G50" s="6" t="s">
        <v>195</v>
      </c>
      <c r="H50" s="6" t="s">
        <v>196</v>
      </c>
      <c r="I50" s="6" t="s">
        <v>72</v>
      </c>
      <c r="J50" s="6" t="s">
        <v>197</v>
      </c>
      <c r="K50" s="6" t="s">
        <v>198</v>
      </c>
      <c r="L50" s="6" t="s">
        <v>199</v>
      </c>
      <c r="M50" s="6" t="s">
        <v>200</v>
      </c>
      <c r="N50" s="6" t="s">
        <v>201</v>
      </c>
      <c r="O50" s="6" t="s">
        <v>202</v>
      </c>
      <c r="P50" s="6" t="s">
        <v>203</v>
      </c>
      <c r="Q50" s="6" t="s">
        <v>204</v>
      </c>
      <c r="R50" s="6" t="s">
        <v>205</v>
      </c>
      <c r="S50" s="6" t="s">
        <v>206</v>
      </c>
    </row>
    <row r="51" customFormat="false" ht="15" hidden="false" customHeight="true" outlineLevel="0" collapsed="false">
      <c r="A51" s="16" t="str">
        <f aca="false">'Bank Inputs'!B5</f>
        <v>BAWAG Group</v>
      </c>
      <c r="B51" s="16" t="str">
        <f aca="false">'Bank Inputs'!C5</f>
        <v>Core</v>
      </c>
      <c r="C51" s="11" t="n">
        <f aca="false">'Bank Inputs'!L5+$D$49</f>
        <v>0.0543294880926077</v>
      </c>
      <c r="D51" s="15" t="n">
        <f aca="false">$D$49*'Bank Inputs'!J5</f>
        <v>2046.51285163895</v>
      </c>
      <c r="E51" s="15" t="n">
        <f aca="false">D51*'Bank Inputs'!M5</f>
        <v>854.22655487683</v>
      </c>
      <c r="F51" s="19" t="n">
        <f aca="false">'Bank Inputs'!F5-E51</f>
        <v>2095.33737422317</v>
      </c>
      <c r="G51" s="20" t="n">
        <f aca="false">F51/'Bank Inputs'!E5</f>
        <v>0.0891426490979864</v>
      </c>
      <c r="H51" s="20" t="n">
        <f aca="false">G51-'Bank Inputs'!R5</f>
        <v>-0.0363416502604018</v>
      </c>
      <c r="I51" s="21" t="n">
        <f aca="false">'Bank Inputs'!S5</f>
        <v>0.1033</v>
      </c>
      <c r="J51" s="20" t="n">
        <f aca="false">G51-I51</f>
        <v>-0.0141573509020137</v>
      </c>
      <c r="K51" s="19" t="str">
        <f aca="false">IF(J51&lt;0,"YES","no")</f>
        <v>YES</v>
      </c>
      <c r="L51" s="15" t="n">
        <f aca="false">'Bank Inputs'!P5*$F$49</f>
        <v>3290.5324737</v>
      </c>
      <c r="M51" s="15" t="n">
        <f aca="false">L51-E51</f>
        <v>2436.30591882317</v>
      </c>
      <c r="N51" s="15" t="n">
        <f aca="false">MAX(M51,0)*Assumptions!$C$14</f>
        <v>730.891775646951</v>
      </c>
      <c r="O51" s="15" t="n">
        <f aca="false">M51-N51</f>
        <v>1705.41414317622</v>
      </c>
      <c r="P51" s="15" t="n">
        <f aca="false">IF(O51&gt;0,O51*Assumptions!$C$16,Assumptions!$C$17*0)</f>
        <v>511.624242952866</v>
      </c>
      <c r="Q51" s="15" t="n">
        <f aca="false">'Bank Inputs'!F5+O51-P51</f>
        <v>4143.35382932335</v>
      </c>
      <c r="R51" s="11" t="n">
        <f aca="false">Q51/'Bank Inputs'!E5</f>
        <v>0.176272108272351</v>
      </c>
      <c r="S51" s="11" t="n">
        <f aca="false">R51-I51</f>
        <v>0.0729721082723507</v>
      </c>
    </row>
    <row r="52" customFormat="false" ht="15" hidden="false" customHeight="true" outlineLevel="0" collapsed="false">
      <c r="A52" s="16" t="str">
        <f aca="false">'Bank Inputs'!B6</f>
        <v>BNP Paribas</v>
      </c>
      <c r="B52" s="16" t="str">
        <f aca="false">'Bank Inputs'!C6</f>
        <v>Core</v>
      </c>
      <c r="C52" s="11" t="n">
        <f aca="false">'Bank Inputs'!L6+$D$49</f>
        <v>0.0688849206650096</v>
      </c>
      <c r="D52" s="15" t="n">
        <f aca="false">$D$49*'Bank Inputs'!J6</f>
        <v>39508.34055635</v>
      </c>
      <c r="E52" s="15" t="n">
        <f aca="false">D52*'Bank Inputs'!M6</f>
        <v>19163.514777058</v>
      </c>
      <c r="F52" s="19" t="n">
        <f aca="false">'Bank Inputs'!F6-E52</f>
        <v>79117.049651942</v>
      </c>
      <c r="G52" s="20" t="n">
        <f aca="false">F52/'Bank Inputs'!E6</f>
        <v>0.100294218468664</v>
      </c>
      <c r="H52" s="20" t="n">
        <f aca="false">G52-'Bank Inputs'!R6</f>
        <v>-0.0242929905264806</v>
      </c>
      <c r="I52" s="21" t="n">
        <f aca="false">'Bank Inputs'!S6</f>
        <v>0.1029</v>
      </c>
      <c r="J52" s="20" t="n">
        <f aca="false">G52-I52</f>
        <v>-0.00260578153133602</v>
      </c>
      <c r="K52" s="19" t="str">
        <f aca="false">IF(J52&lt;0,"YES","no")</f>
        <v>YES</v>
      </c>
      <c r="L52" s="15" t="n">
        <f aca="false">'Bank Inputs'!P6*$F$49</f>
        <v>51892.034916</v>
      </c>
      <c r="M52" s="15" t="n">
        <f aca="false">L52-E52</f>
        <v>32728.520138942</v>
      </c>
      <c r="N52" s="15" t="n">
        <f aca="false">MAX(M52,0)*Assumptions!$C$14</f>
        <v>9818.55604168261</v>
      </c>
      <c r="O52" s="15" t="n">
        <f aca="false">M52-N52</f>
        <v>22909.9640972594</v>
      </c>
      <c r="P52" s="15" t="n">
        <f aca="false">IF(O52&gt;0,O52*Assumptions!$C$16,Assumptions!$C$17*0)</f>
        <v>6872.98922917783</v>
      </c>
      <c r="Q52" s="15" t="n">
        <f aca="false">'Bank Inputs'!F6+O52-P52</f>
        <v>114317.539297082</v>
      </c>
      <c r="R52" s="11" t="n">
        <f aca="false">Q52/'Bank Inputs'!E6</f>
        <v>0.14491678230547</v>
      </c>
      <c r="S52" s="11" t="n">
        <f aca="false">R52-I52</f>
        <v>0.0420167823054705</v>
      </c>
    </row>
    <row r="53" customFormat="false" ht="15" hidden="false" customHeight="true" outlineLevel="0" collapsed="false">
      <c r="A53" s="16" t="str">
        <f aca="false">'Bank Inputs'!B7</f>
        <v>Banco Santander</v>
      </c>
      <c r="B53" s="16" t="str">
        <f aca="false">'Bank Inputs'!C7</f>
        <v>Core</v>
      </c>
      <c r="C53" s="11" t="n">
        <f aca="false">'Bank Inputs'!L7+$D$49</f>
        <v>0.0744620739090728</v>
      </c>
      <c r="D53" s="15" t="n">
        <f aca="false">$D$49*'Bank Inputs'!J7</f>
        <v>44017.074913</v>
      </c>
      <c r="E53" s="15" t="n">
        <f aca="false">D53*'Bank Inputs'!M7</f>
        <v>17452.6893218551</v>
      </c>
      <c r="F53" s="19" t="n">
        <f aca="false">'Bank Inputs'!F7-E53</f>
        <v>63800.2175031449</v>
      </c>
      <c r="G53" s="20" t="n">
        <f aca="false">F53/'Bank Inputs'!E7</f>
        <v>0.101957954799697</v>
      </c>
      <c r="H53" s="20" t="n">
        <f aca="false">G53-'Bank Inputs'!R7</f>
        <v>-0.027890821985413</v>
      </c>
      <c r="I53" s="21" t="n">
        <f aca="false">'Bank Inputs'!S7</f>
        <v>0.0967</v>
      </c>
      <c r="J53" s="20" t="n">
        <f aca="false">G53-I53</f>
        <v>0.00525795479969655</v>
      </c>
      <c r="K53" s="19" t="str">
        <f aca="false">IF(J53&lt;0,"YES","no")</f>
        <v>no</v>
      </c>
      <c r="L53" s="15" t="n">
        <f aca="false">'Bank Inputs'!P7*$F$49</f>
        <v>54539.652</v>
      </c>
      <c r="M53" s="15" t="n">
        <f aca="false">L53-E53</f>
        <v>37086.9626781449</v>
      </c>
      <c r="N53" s="15" t="n">
        <f aca="false">MAX(M53,0)*Assumptions!$C$14</f>
        <v>11126.0888034435</v>
      </c>
      <c r="O53" s="15" t="n">
        <f aca="false">M53-N53</f>
        <v>25960.8738747014</v>
      </c>
      <c r="P53" s="15" t="n">
        <f aca="false">IF(O53&gt;0,O53*Assumptions!$C$16,Assumptions!$C$17*0)</f>
        <v>7788.26216241043</v>
      </c>
      <c r="Q53" s="15" t="n">
        <f aca="false">'Bank Inputs'!F7+O53-P53</f>
        <v>99425.518537291</v>
      </c>
      <c r="R53" s="11" t="n">
        <f aca="false">Q53/'Bank Inputs'!E7</f>
        <v>0.158890093508879</v>
      </c>
      <c r="S53" s="11" t="n">
        <f aca="false">R53-I53</f>
        <v>0.0621900935088789</v>
      </c>
    </row>
    <row r="54" customFormat="false" ht="15" hidden="false" customHeight="true" outlineLevel="0" collapsed="false">
      <c r="A54" s="16" t="str">
        <f aca="false">'Bank Inputs'!B8</f>
        <v>CEC Bank</v>
      </c>
      <c r="B54" s="16" t="str">
        <f aca="false">'Bank Inputs'!C8</f>
        <v>Core</v>
      </c>
      <c r="C54" s="11" t="n">
        <f aca="false">'Bank Inputs'!L8+$D$49</f>
        <v>0.109841026869394</v>
      </c>
      <c r="D54" s="15" t="n">
        <f aca="false">$D$49*'Bank Inputs'!J8</f>
        <v>332.394817093827</v>
      </c>
      <c r="E54" s="15" t="n">
        <f aca="false">D54*'Bank Inputs'!M8</f>
        <v>180.517941244711</v>
      </c>
      <c r="F54" s="19" t="n">
        <f aca="false">'Bank Inputs'!F8-E54</f>
        <v>1120.03880602318</v>
      </c>
      <c r="G54" s="20" t="n">
        <f aca="false">F54/'Bank Inputs'!E8</f>
        <v>0.206419851360313</v>
      </c>
      <c r="H54" s="20" t="n">
        <f aca="false">G54-'Bank Inputs'!R8</f>
        <v>-0.0332689246115566</v>
      </c>
      <c r="I54" s="21" t="n">
        <f aca="false">'Bank Inputs'!S8</f>
        <v>0.122</v>
      </c>
      <c r="J54" s="20" t="n">
        <f aca="false">G54-I54</f>
        <v>0.0844198513603127</v>
      </c>
      <c r="K54" s="19" t="str">
        <f aca="false">IF(J54&lt;0,"YES","no")</f>
        <v>no</v>
      </c>
      <c r="L54" s="15" t="n">
        <f aca="false">'Bank Inputs'!P8*$F$49</f>
        <v>449.770689770601</v>
      </c>
      <c r="M54" s="15" t="n">
        <f aca="false">L54-E54</f>
        <v>269.25274852589</v>
      </c>
      <c r="N54" s="15" t="n">
        <f aca="false">MAX(M54,0)*Assumptions!$C$14</f>
        <v>80.7758245577669</v>
      </c>
      <c r="O54" s="15" t="n">
        <f aca="false">M54-N54</f>
        <v>188.476923968123</v>
      </c>
      <c r="P54" s="15" t="n">
        <f aca="false">IF(O54&gt;0,O54*Assumptions!$C$16,Assumptions!$C$17*0)</f>
        <v>56.5430771904369</v>
      </c>
      <c r="Q54" s="15" t="n">
        <f aca="false">'Bank Inputs'!F8+O54-P54</f>
        <v>1432.49059404558</v>
      </c>
      <c r="R54" s="11" t="n">
        <f aca="false">Q54/'Bank Inputs'!E8</f>
        <v>0.26400379514334</v>
      </c>
      <c r="S54" s="11" t="n">
        <f aca="false">R54-I54</f>
        <v>0.14200379514334</v>
      </c>
    </row>
    <row r="55" customFormat="false" ht="15" hidden="false" customHeight="true" outlineLevel="0" collapsed="false">
      <c r="A55" s="16" t="str">
        <f aca="false">'Bank Inputs'!B9</f>
        <v>Commerzbank</v>
      </c>
      <c r="B55" s="16" t="str">
        <f aca="false">'Bank Inputs'!C9</f>
        <v>Core</v>
      </c>
      <c r="C55" s="11" t="n">
        <f aca="false">'Bank Inputs'!L9+$D$49</f>
        <v>0.0548959699823878</v>
      </c>
      <c r="D55" s="15" t="n">
        <f aca="false">$D$49*'Bank Inputs'!J9</f>
        <v>14857.7499390304</v>
      </c>
      <c r="E55" s="15" t="n">
        <f aca="false">D55*'Bank Inputs'!M9</f>
        <v>6490.08123858679</v>
      </c>
      <c r="F55" s="19" t="n">
        <f aca="false">'Bank Inputs'!F9-E55</f>
        <v>19151.9086176732</v>
      </c>
      <c r="G55" s="20" t="n">
        <f aca="false">F55/'Bank Inputs'!E9</f>
        <v>0.1087407498023</v>
      </c>
      <c r="H55" s="20" t="n">
        <f aca="false">G55-'Bank Inputs'!R9</f>
        <v>-0.036849397845942</v>
      </c>
      <c r="I55" s="21" t="n">
        <f aca="false">'Bank Inputs'!S9</f>
        <v>0.1031</v>
      </c>
      <c r="J55" s="20" t="n">
        <f aca="false">G55-I55</f>
        <v>0.00564074980229969</v>
      </c>
      <c r="K55" s="19" t="str">
        <f aca="false">IF(J55&lt;0,"YES","no")</f>
        <v>no</v>
      </c>
      <c r="L55" s="15" t="n">
        <f aca="false">'Bank Inputs'!P9*$F$49</f>
        <v>11154.07877394</v>
      </c>
      <c r="M55" s="15" t="n">
        <f aca="false">L55-E55</f>
        <v>4663.99753535321</v>
      </c>
      <c r="N55" s="15" t="n">
        <f aca="false">MAX(M55,0)*Assumptions!$C$14</f>
        <v>1399.19926060596</v>
      </c>
      <c r="O55" s="15" t="n">
        <f aca="false">M55-N55</f>
        <v>3264.79827474725</v>
      </c>
      <c r="P55" s="15" t="n">
        <f aca="false">IF(O55&gt;0,O55*Assumptions!$C$16,Assumptions!$C$17*0)</f>
        <v>979.439482424174</v>
      </c>
      <c r="Q55" s="15" t="n">
        <f aca="false">'Bank Inputs'!F9+O55-P55</f>
        <v>27927.3486485831</v>
      </c>
      <c r="R55" s="11" t="n">
        <f aca="false">Q55/'Bank Inputs'!E9</f>
        <v>0.158565962936707</v>
      </c>
      <c r="S55" s="11" t="n">
        <f aca="false">R55-I55</f>
        <v>0.0554659629367067</v>
      </c>
    </row>
    <row r="56" customFormat="false" ht="15" hidden="false" customHeight="true" outlineLevel="0" collapsed="false">
      <c r="A56" s="16" t="str">
        <f aca="false">'Bank Inputs'!B10</f>
        <v>Deutsche Bank</v>
      </c>
      <c r="B56" s="16" t="str">
        <f aca="false">'Bank Inputs'!C10</f>
        <v>Core</v>
      </c>
      <c r="C56" s="11" t="n">
        <f aca="false">'Bank Inputs'!L10+$D$49</f>
        <v>0.0613534581531834</v>
      </c>
      <c r="D56" s="15" t="n">
        <f aca="false">$D$49*'Bank Inputs'!J10</f>
        <v>30043.7806127413</v>
      </c>
      <c r="E56" s="15" t="n">
        <f aca="false">D56*'Bank Inputs'!M10</f>
        <v>9352.24429366121</v>
      </c>
      <c r="F56" s="19" t="n">
        <f aca="false">'Bank Inputs'!F10-E56</f>
        <v>39169.3286493549</v>
      </c>
      <c r="G56" s="20" t="n">
        <f aca="false">F56/'Bank Inputs'!E10</f>
        <v>0.114931769052393</v>
      </c>
      <c r="H56" s="20" t="n">
        <f aca="false">G56-'Bank Inputs'!R10</f>
        <v>-0.0274416237996547</v>
      </c>
      <c r="I56" s="21" t="n">
        <f aca="false">'Bank Inputs'!S10</f>
        <v>0.1124</v>
      </c>
      <c r="J56" s="20" t="n">
        <f aca="false">G56-I56</f>
        <v>0.00253176905239347</v>
      </c>
      <c r="K56" s="19" t="str">
        <f aca="false">IF(J56&lt;0,"YES","no")</f>
        <v>no</v>
      </c>
      <c r="L56" s="15" t="n">
        <f aca="false">'Bank Inputs'!P10*$F$49</f>
        <v>31461.2630938199</v>
      </c>
      <c r="M56" s="15" t="n">
        <f aca="false">L56-E56</f>
        <v>22109.0188001587</v>
      </c>
      <c r="N56" s="15" t="n">
        <f aca="false">MAX(M56,0)*Assumptions!$C$14</f>
        <v>6632.7056400476</v>
      </c>
      <c r="O56" s="15" t="n">
        <f aca="false">M56-N56</f>
        <v>15476.3131601111</v>
      </c>
      <c r="P56" s="15" t="n">
        <f aca="false">IF(O56&gt;0,O56*Assumptions!$C$16,Assumptions!$C$17*0)</f>
        <v>4642.89394803332</v>
      </c>
      <c r="Q56" s="15" t="n">
        <f aca="false">'Bank Inputs'!F10+O56-P56</f>
        <v>59354.9921550939</v>
      </c>
      <c r="R56" s="11" t="n">
        <f aca="false">Q56/'Bank Inputs'!E10</f>
        <v>0.174161122636148</v>
      </c>
      <c r="S56" s="11" t="n">
        <f aca="false">R56-I56</f>
        <v>0.0617611226361477</v>
      </c>
    </row>
    <row r="57" customFormat="false" ht="15" hidden="false" customHeight="true" outlineLevel="0" collapsed="false">
      <c r="A57" s="16" t="str">
        <f aca="false">'Bank Inputs'!B11</f>
        <v>Groupe Crédit Agricole</v>
      </c>
      <c r="B57" s="16" t="str">
        <f aca="false">'Bank Inputs'!C11</f>
        <v>Core</v>
      </c>
      <c r="C57" s="11" t="n">
        <f aca="false">'Bank Inputs'!L11+$D$49</f>
        <v>0.0606440786063854</v>
      </c>
      <c r="D57" s="15" t="n">
        <f aca="false">$D$49*'Bank Inputs'!J11</f>
        <v>55166.8387528793</v>
      </c>
      <c r="E57" s="15" t="n">
        <f aca="false">D57*'Bank Inputs'!M11</f>
        <v>26956.0832500046</v>
      </c>
      <c r="F57" s="19" t="n">
        <f aca="false">'Bank Inputs'!F11-E57</f>
        <v>87151.1656528544</v>
      </c>
      <c r="G57" s="20" t="n">
        <f aca="false">F57/'Bank Inputs'!E11</f>
        <v>0.1342825816615</v>
      </c>
      <c r="H57" s="20" t="n">
        <f aca="false">G57-'Bank Inputs'!R11</f>
        <v>-0.0415339533691523</v>
      </c>
      <c r="I57" s="21" t="n">
        <f aca="false">'Bank Inputs'!S11</f>
        <v>0.098</v>
      </c>
      <c r="J57" s="20" t="n">
        <f aca="false">G57-I57</f>
        <v>0.0362825816614996</v>
      </c>
      <c r="K57" s="19" t="str">
        <f aca="false">IF(J57&lt;0,"YES","no")</f>
        <v>no</v>
      </c>
      <c r="L57" s="15" t="n">
        <f aca="false">'Bank Inputs'!P11*$F$49</f>
        <v>40000.91342904</v>
      </c>
      <c r="M57" s="15" t="n">
        <f aca="false">L57-E57</f>
        <v>13044.8301790354</v>
      </c>
      <c r="N57" s="15" t="n">
        <f aca="false">MAX(M57,0)*Assumptions!$C$14</f>
        <v>3913.44905371062</v>
      </c>
      <c r="O57" s="15" t="n">
        <f aca="false">M57-N57</f>
        <v>9131.38112532478</v>
      </c>
      <c r="P57" s="15" t="n">
        <f aca="false">IF(O57&gt;0,O57*Assumptions!$C$16,Assumptions!$C$17*0)</f>
        <v>2739.41433759743</v>
      </c>
      <c r="Q57" s="15" t="n">
        <f aca="false">'Bank Inputs'!F11+O57-P57</f>
        <v>120499.215690586</v>
      </c>
      <c r="R57" s="11" t="n">
        <f aca="false">Q57/'Bank Inputs'!E11</f>
        <v>0.185665282270242</v>
      </c>
      <c r="S57" s="11" t="n">
        <f aca="false">R57-I57</f>
        <v>0.0876652822702418</v>
      </c>
    </row>
    <row r="58" customFormat="false" ht="15" hidden="false" customHeight="true" outlineLevel="0" collapsed="false">
      <c r="A58" s="16" t="str">
        <f aca="false">'Bank Inputs'!B12</f>
        <v>HSBC Continental Europe</v>
      </c>
      <c r="B58" s="16" t="str">
        <f aca="false">'Bank Inputs'!C12</f>
        <v>Core</v>
      </c>
      <c r="C58" s="11" t="n">
        <f aca="false">'Bank Inputs'!L12+$D$49</f>
        <v>0.0565256652293169</v>
      </c>
      <c r="D58" s="15" t="n">
        <f aca="false">$D$49*'Bank Inputs'!J12</f>
        <v>3716.542908</v>
      </c>
      <c r="E58" s="15" t="n">
        <f aca="false">D58*'Bank Inputs'!M12</f>
        <v>977.028409150323</v>
      </c>
      <c r="F58" s="19" t="n">
        <f aca="false">'Bank Inputs'!F12-E58</f>
        <v>9484.26322290968</v>
      </c>
      <c r="G58" s="20" t="n">
        <f aca="false">F58/'Bank Inputs'!E12</f>
        <v>0.140278829341046</v>
      </c>
      <c r="H58" s="20" t="n">
        <f aca="false">G58-'Bank Inputs'!R12</f>
        <v>-0.014450927631098</v>
      </c>
      <c r="I58" s="21" t="n">
        <f aca="false">'Bank Inputs'!S12</f>
        <v>0.097</v>
      </c>
      <c r="J58" s="20" t="n">
        <f aca="false">G58-I58</f>
        <v>0.0432788293410459</v>
      </c>
      <c r="K58" s="19" t="str">
        <f aca="false">IF(J58&lt;0,"YES","no")</f>
        <v>no</v>
      </c>
      <c r="L58" s="15" t="n">
        <f aca="false">'Bank Inputs'!P12*$F$49</f>
        <v>2988.168</v>
      </c>
      <c r="M58" s="15" t="n">
        <f aca="false">L58-E58</f>
        <v>2011.13959084968</v>
      </c>
      <c r="N58" s="15" t="n">
        <f aca="false">MAX(M58,0)*Assumptions!$C$14</f>
        <v>603.341877254903</v>
      </c>
      <c r="O58" s="15" t="n">
        <f aca="false">M58-N58</f>
        <v>1407.79771359477</v>
      </c>
      <c r="P58" s="15" t="n">
        <f aca="false">IF(O58&gt;0,O58*Assumptions!$C$16,Assumptions!$C$17*0)</f>
        <v>422.339314078432</v>
      </c>
      <c r="Q58" s="15" t="n">
        <f aca="false">'Bank Inputs'!F12+O58-P58</f>
        <v>11446.7500315763</v>
      </c>
      <c r="R58" s="11" t="n">
        <f aca="false">Q58/'Bank Inputs'!E12</f>
        <v>0.169305370006009</v>
      </c>
      <c r="S58" s="11" t="n">
        <f aca="false">R58-I58</f>
        <v>0.0723053700060094</v>
      </c>
    </row>
    <row r="59" customFormat="false" ht="15" hidden="false" customHeight="true" outlineLevel="0" collapsed="false">
      <c r="A59" s="16" t="str">
        <f aca="false">'Bank Inputs'!B13</f>
        <v>ING Groep</v>
      </c>
      <c r="B59" s="16" t="str">
        <f aca="false">'Bank Inputs'!C13</f>
        <v>Core</v>
      </c>
      <c r="C59" s="11" t="n">
        <f aca="false">'Bank Inputs'!L13+$D$49</f>
        <v>0.0558883078258999</v>
      </c>
      <c r="D59" s="15" t="n">
        <f aca="false">$D$49*'Bank Inputs'!J13</f>
        <v>33953.414378</v>
      </c>
      <c r="E59" s="15" t="n">
        <f aca="false">D59*'Bank Inputs'!M13</f>
        <v>11522.4361294821</v>
      </c>
      <c r="F59" s="19" t="n">
        <f aca="false">'Bank Inputs'!F13-E59</f>
        <v>33011.5962666679</v>
      </c>
      <c r="G59" s="20" t="n">
        <f aca="false">F59/'Bank Inputs'!E13</f>
        <v>0.0983062084322103</v>
      </c>
      <c r="H59" s="20" t="n">
        <f aca="false">G59-'Bank Inputs'!R13</f>
        <v>-0.0343130031835334</v>
      </c>
      <c r="I59" s="21" t="n">
        <f aca="false">'Bank Inputs'!S13</f>
        <v>0.1087</v>
      </c>
      <c r="J59" s="20" t="n">
        <f aca="false">G59-I59</f>
        <v>-0.0103937915677897</v>
      </c>
      <c r="K59" s="19" t="str">
        <f aca="false">IF(J59&lt;0,"YES","no")</f>
        <v>YES</v>
      </c>
      <c r="L59" s="15" t="n">
        <f aca="false">'Bank Inputs'!P13*$F$49</f>
        <v>26958.204</v>
      </c>
      <c r="M59" s="15" t="n">
        <f aca="false">L59-E59</f>
        <v>15435.7678705179</v>
      </c>
      <c r="N59" s="15" t="n">
        <f aca="false">MAX(M59,0)*Assumptions!$C$14</f>
        <v>4630.73036115537</v>
      </c>
      <c r="O59" s="15" t="n">
        <f aca="false">M59-N59</f>
        <v>10805.0375093625</v>
      </c>
      <c r="P59" s="15" t="n">
        <f aca="false">IF(O59&gt;0,O59*Assumptions!$C$16,Assumptions!$C$17*0)</f>
        <v>3241.51125280876</v>
      </c>
      <c r="Q59" s="15" t="n">
        <f aca="false">'Bank Inputs'!F13+O59-P59</f>
        <v>52097.5586527038</v>
      </c>
      <c r="R59" s="11" t="n">
        <f aca="false">Q59/'Bank Inputs'!E13</f>
        <v>0.155142860052885</v>
      </c>
      <c r="S59" s="11" t="n">
        <f aca="false">R59-I59</f>
        <v>0.0464428600528849</v>
      </c>
    </row>
    <row r="60" customFormat="false" ht="15" hidden="false" customHeight="true" outlineLevel="0" collapsed="false">
      <c r="A60" s="16" t="str">
        <f aca="false">'Bank Inputs'!B14</f>
        <v>Morgan Stanley Europe Holding SE</v>
      </c>
      <c r="B60" s="16" t="str">
        <f aca="false">'Bank Inputs'!C14</f>
        <v>Core</v>
      </c>
      <c r="C60" s="11" t="n">
        <f aca="false">'Bank Inputs'!L14+$D$49</f>
        <v>0.0411844481319011</v>
      </c>
      <c r="D60" s="15" t="n">
        <f aca="false">$D$49*'Bank Inputs'!J14</f>
        <v>1548.23484090964</v>
      </c>
      <c r="E60" s="15" t="n">
        <f aca="false">D60*'Bank Inputs'!M14</f>
        <v>561.233542855824</v>
      </c>
      <c r="F60" s="19" t="n">
        <f aca="false">'Bank Inputs'!F14-E60</f>
        <v>5729.54387114418</v>
      </c>
      <c r="G60" s="20" t="n">
        <f aca="false">F60/'Bank Inputs'!E14</f>
        <v>0.163934754256357</v>
      </c>
      <c r="H60" s="20" t="n">
        <f aca="false">G60-'Bank Inputs'!R14</f>
        <v>-0.0160581164919365</v>
      </c>
      <c r="I60" s="21" t="n">
        <f aca="false">'Bank Inputs'!S14</f>
        <v>0.0956</v>
      </c>
      <c r="J60" s="20" t="n">
        <f aca="false">G60-I60</f>
        <v>0.0683347542563567</v>
      </c>
      <c r="K60" s="19" t="str">
        <f aca="false">IF(J60&lt;0,"YES","no")</f>
        <v>no</v>
      </c>
      <c r="L60" s="15" t="n">
        <f aca="false">'Bank Inputs'!P14*$F$49</f>
        <v>1616.72313288002</v>
      </c>
      <c r="M60" s="15" t="n">
        <f aca="false">L60-E60</f>
        <v>1055.48959002419</v>
      </c>
      <c r="N60" s="15" t="n">
        <f aca="false">MAX(M60,0)*Assumptions!$C$14</f>
        <v>316.646877007258</v>
      </c>
      <c r="O60" s="15" t="n">
        <f aca="false">M60-N60</f>
        <v>738.842713016936</v>
      </c>
      <c r="P60" s="15" t="n">
        <f aca="false">IF(O60&gt;0,O60*Assumptions!$C$16,Assumptions!$C$17*0)</f>
        <v>221.652813905081</v>
      </c>
      <c r="Q60" s="15" t="n">
        <f aca="false">'Bank Inputs'!F14+O60-P60</f>
        <v>6807.96731311186</v>
      </c>
      <c r="R60" s="11" t="n">
        <f aca="false">Q60/'Bank Inputs'!E14</f>
        <v>0.194790802472279</v>
      </c>
      <c r="S60" s="11" t="n">
        <f aca="false">R60-I60</f>
        <v>0.0991908024722788</v>
      </c>
    </row>
    <row r="61" customFormat="false" ht="15" hidden="false" customHeight="true" outlineLevel="0" collapsed="false">
      <c r="A61" s="16" t="str">
        <f aca="false">'Bank Inputs'!B15</f>
        <v>Revolut Holdings Europe</v>
      </c>
      <c r="B61" s="16" t="str">
        <f aca="false">'Bank Inputs'!C15</f>
        <v>Reference case</v>
      </c>
      <c r="C61" s="11" t="n">
        <f aca="false">'Bank Inputs'!L15+$D$49</f>
        <v>0.0490261583446791</v>
      </c>
      <c r="D61" s="15" t="n">
        <f aca="false">$D$49*'Bank Inputs'!J15</f>
        <v>291.65865429778</v>
      </c>
      <c r="E61" s="15" t="n">
        <f aca="false">D61*'Bank Inputs'!M15</f>
        <v>234.909201849965</v>
      </c>
      <c r="F61" s="19" t="n">
        <f aca="false">'Bank Inputs'!F15-E61</f>
        <v>1062.24616115004</v>
      </c>
      <c r="G61" s="20" t="n">
        <f aca="false">F61/'Bank Inputs'!E15</f>
        <v>0.256511913919835</v>
      </c>
      <c r="H61" s="20" t="n">
        <f aca="false">G61-'Bank Inputs'!R15</f>
        <v>-0.0567260312794902</v>
      </c>
      <c r="I61" s="21" t="n">
        <f aca="false">'Bank Inputs'!S15</f>
        <v>0.0997</v>
      </c>
      <c r="J61" s="20" t="n">
        <f aca="false">G61-I61</f>
        <v>0.156811913919835</v>
      </c>
      <c r="K61" s="19" t="str">
        <f aca="false">IF(J61&lt;0,"YES","no")</f>
        <v>no</v>
      </c>
      <c r="L61" s="15" t="n">
        <f aca="false">'Bank Inputs'!P15*$F$49</f>
        <v>801.40080996</v>
      </c>
      <c r="M61" s="15" t="n">
        <f aca="false">L61-E61</f>
        <v>566.491608110035</v>
      </c>
      <c r="N61" s="15" t="n">
        <f aca="false">MAX(M61,0)*Assumptions!$C$14</f>
        <v>169.947482433011</v>
      </c>
      <c r="O61" s="15" t="n">
        <f aca="false">M61-N61</f>
        <v>396.544125677025</v>
      </c>
      <c r="P61" s="15" t="n">
        <f aca="false">IF(O61&gt;0,O61*Assumptions!$C$16,Assumptions!$C$17*0)</f>
        <v>118.963237703107</v>
      </c>
      <c r="Q61" s="15" t="n">
        <f aca="false">'Bank Inputs'!F15+O61-P61</f>
        <v>1574.73625097392</v>
      </c>
      <c r="R61" s="11" t="n">
        <f aca="false">Q61/'Bank Inputs'!E15</f>
        <v>0.380268363802739</v>
      </c>
      <c r="S61" s="11" t="n">
        <f aca="false">R61-I61</f>
        <v>0.280568363802739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11" min="2" style="1" width="14"/>
  </cols>
  <sheetData>
    <row r="1" customFormat="false" ht="17.25" hidden="false" customHeight="true" outlineLevel="0" collapsed="false">
      <c r="A1" s="2" t="s">
        <v>210</v>
      </c>
    </row>
    <row r="2" customFormat="false" ht="15" hidden="false" customHeight="true" outlineLevel="0" collapsed="false">
      <c r="A2" s="12" t="s">
        <v>211</v>
      </c>
    </row>
    <row r="3" customFormat="false" ht="15" hidden="false" customHeight="true" outlineLevel="0" collapsed="false">
      <c r="A3" s="3" t="s">
        <v>212</v>
      </c>
    </row>
    <row r="4" customFormat="false" ht="30" hidden="false" customHeight="true" outlineLevel="0" collapsed="false">
      <c r="A4" s="6" t="s">
        <v>107</v>
      </c>
      <c r="B4" s="6" t="s">
        <v>165</v>
      </c>
      <c r="C4" s="6" t="s">
        <v>213</v>
      </c>
      <c r="D4" s="6" t="s">
        <v>214</v>
      </c>
      <c r="E4" s="6" t="s">
        <v>180</v>
      </c>
      <c r="F4" s="6" t="s">
        <v>215</v>
      </c>
      <c r="G4" s="6" t="s">
        <v>216</v>
      </c>
      <c r="H4" s="6" t="s">
        <v>217</v>
      </c>
      <c r="I4" s="6" t="s">
        <v>218</v>
      </c>
      <c r="J4" s="6" t="s">
        <v>219</v>
      </c>
      <c r="K4" s="6" t="s">
        <v>220</v>
      </c>
    </row>
    <row r="5" customFormat="false" ht="15" hidden="false" customHeight="true" outlineLevel="0" collapsed="false">
      <c r="A5" s="18" t="str">
        <f aca="false">'Bank Inputs'!B5</f>
        <v>BAWAG Group</v>
      </c>
      <c r="B5" s="18" t="str">
        <f aca="false">'Bank Inputs'!C5</f>
        <v>Core</v>
      </c>
      <c r="C5" s="17" t="n">
        <f aca="false">'Bank Inputs'!R5</f>
        <v>0.125484299358388</v>
      </c>
      <c r="D5" s="17" t="n">
        <f aca="false">'Bank Inputs'!S5</f>
        <v>0.1033</v>
      </c>
      <c r="E5" s="11" t="n">
        <f aca="false">C5-D5</f>
        <v>0.0221842993583881</v>
      </c>
      <c r="F5" s="17" t="n">
        <f aca="false">Stress!J6</f>
        <v>0.0150932456490414</v>
      </c>
      <c r="G5" s="17" t="n">
        <f aca="false">Stress!J21</f>
        <v>0.0115477187943681</v>
      </c>
      <c r="H5" s="17" t="n">
        <f aca="false">Stress!J36</f>
        <v>0.000911138230348052</v>
      </c>
      <c r="I5" s="17" t="n">
        <f aca="false">Stress!J51</f>
        <v>-0.0141573509020137</v>
      </c>
      <c r="J5" s="17" t="n">
        <f aca="false">Stress!G51</f>
        <v>0.0891426490979864</v>
      </c>
      <c r="K5" s="17" t="n">
        <f aca="false">Stress!G51-'Bank Inputs'!R5</f>
        <v>-0.0363416502604018</v>
      </c>
    </row>
    <row r="6" customFormat="false" ht="15" hidden="false" customHeight="true" outlineLevel="0" collapsed="false">
      <c r="A6" s="18" t="str">
        <f aca="false">'Bank Inputs'!B6</f>
        <v>BNP Paribas</v>
      </c>
      <c r="B6" s="18" t="str">
        <f aca="false">'Bank Inputs'!C6</f>
        <v>Core</v>
      </c>
      <c r="C6" s="17" t="n">
        <f aca="false">'Bank Inputs'!R6</f>
        <v>0.124587208995145</v>
      </c>
      <c r="D6" s="17" t="n">
        <f aca="false">'Bank Inputs'!S6</f>
        <v>0.1029</v>
      </c>
      <c r="E6" s="11" t="n">
        <f aca="false">C6-D6</f>
        <v>0.0216872089951446</v>
      </c>
      <c r="F6" s="17" t="n">
        <f aca="false">Stress!J7</f>
        <v>0.0169471132826605</v>
      </c>
      <c r="G6" s="17" t="n">
        <f aca="false">Stress!J22</f>
        <v>0.0145770654264185</v>
      </c>
      <c r="H6" s="17" t="n">
        <f aca="false">Stress!J37</f>
        <v>0.00746692185769253</v>
      </c>
      <c r="I6" s="17" t="n">
        <f aca="false">Stress!J52</f>
        <v>-0.00260578153133602</v>
      </c>
      <c r="J6" s="17" t="n">
        <f aca="false">Stress!G52</f>
        <v>0.100294218468664</v>
      </c>
      <c r="K6" s="17" t="n">
        <f aca="false">Stress!G52-'Bank Inputs'!R6</f>
        <v>-0.0242929905264806</v>
      </c>
    </row>
    <row r="7" customFormat="false" ht="15" hidden="false" customHeight="true" outlineLevel="0" collapsed="false">
      <c r="A7" s="18" t="str">
        <f aca="false">'Bank Inputs'!B7</f>
        <v>Banco Santander</v>
      </c>
      <c r="B7" s="18" t="str">
        <f aca="false">'Bank Inputs'!C7</f>
        <v>Core</v>
      </c>
      <c r="C7" s="17" t="n">
        <f aca="false">'Bank Inputs'!R7</f>
        <v>0.12984877678511</v>
      </c>
      <c r="D7" s="17" t="n">
        <f aca="false">'Bank Inputs'!S7</f>
        <v>0.0967</v>
      </c>
      <c r="E7" s="11" t="n">
        <f aca="false">C7-D7</f>
        <v>0.0331487767851096</v>
      </c>
      <c r="F7" s="17" t="n">
        <f aca="false">Stress!J8</f>
        <v>0.0277066651781997</v>
      </c>
      <c r="G7" s="17" t="n">
        <f aca="false">Stress!J23</f>
        <v>0.0249856093747448</v>
      </c>
      <c r="H7" s="17" t="n">
        <f aca="false">Stress!J38</f>
        <v>0.01682244196438</v>
      </c>
      <c r="I7" s="17" t="n">
        <f aca="false">Stress!J53</f>
        <v>0.00525795479969655</v>
      </c>
      <c r="J7" s="17" t="n">
        <f aca="false">Stress!G53</f>
        <v>0.101957954799697</v>
      </c>
      <c r="K7" s="17" t="n">
        <f aca="false">Stress!G53-'Bank Inputs'!R7</f>
        <v>-0.027890821985413</v>
      </c>
    </row>
    <row r="8" customFormat="false" ht="15" hidden="false" customHeight="true" outlineLevel="0" collapsed="false">
      <c r="A8" s="18" t="str">
        <f aca="false">'Bank Inputs'!B8</f>
        <v>CEC Bank</v>
      </c>
      <c r="B8" s="18" t="str">
        <f aca="false">'Bank Inputs'!C8</f>
        <v>Core</v>
      </c>
      <c r="C8" s="17" t="n">
        <f aca="false">'Bank Inputs'!R8</f>
        <v>0.239688775971869</v>
      </c>
      <c r="D8" s="17" t="n">
        <f aca="false">'Bank Inputs'!S8</f>
        <v>0.122</v>
      </c>
      <c r="E8" s="11" t="n">
        <f aca="false">C8-D8</f>
        <v>0.117688775971869</v>
      </c>
      <c r="F8" s="17" t="n">
        <f aca="false">Stress!J9</f>
        <v>0.111197278486688</v>
      </c>
      <c r="G8" s="17" t="n">
        <f aca="false">Stress!J24</f>
        <v>0.107951529744097</v>
      </c>
      <c r="H8" s="17" t="n">
        <f aca="false">Stress!J39</f>
        <v>0.098214283516324</v>
      </c>
      <c r="I8" s="17" t="n">
        <f aca="false">Stress!J54</f>
        <v>0.0844198513603127</v>
      </c>
      <c r="J8" s="17" t="n">
        <f aca="false">Stress!G54</f>
        <v>0.206419851360313</v>
      </c>
      <c r="K8" s="17" t="n">
        <f aca="false">Stress!G54-'Bank Inputs'!R8</f>
        <v>-0.0332689246115566</v>
      </c>
    </row>
    <row r="9" customFormat="false" ht="15" hidden="false" customHeight="true" outlineLevel="0" collapsed="false">
      <c r="A9" s="18" t="str">
        <f aca="false">'Bank Inputs'!B9</f>
        <v>Commerzbank</v>
      </c>
      <c r="B9" s="18" t="str">
        <f aca="false">'Bank Inputs'!C9</f>
        <v>Core</v>
      </c>
      <c r="C9" s="17" t="n">
        <f aca="false">'Bank Inputs'!R9</f>
        <v>0.145590147648242</v>
      </c>
      <c r="D9" s="17" t="n">
        <f aca="false">'Bank Inputs'!S9</f>
        <v>0.1031</v>
      </c>
      <c r="E9" s="11" t="n">
        <f aca="false">C9-D9</f>
        <v>0.0424901476482417</v>
      </c>
      <c r="F9" s="17" t="n">
        <f aca="false">Stress!J10</f>
        <v>0.0353000212392774</v>
      </c>
      <c r="G9" s="17" t="n">
        <f aca="false">Stress!J25</f>
        <v>0.0317049580347953</v>
      </c>
      <c r="H9" s="17" t="n">
        <f aca="false">Stress!J40</f>
        <v>0.0209197684213488</v>
      </c>
      <c r="I9" s="17" t="n">
        <f aca="false">Stress!J55</f>
        <v>0.00564074980229969</v>
      </c>
      <c r="J9" s="17" t="n">
        <f aca="false">Stress!G55</f>
        <v>0.1087407498023</v>
      </c>
      <c r="K9" s="17" t="n">
        <f aca="false">Stress!G55-'Bank Inputs'!R9</f>
        <v>-0.036849397845942</v>
      </c>
    </row>
    <row r="10" customFormat="false" ht="15" hidden="false" customHeight="true" outlineLevel="0" collapsed="false">
      <c r="A10" s="18" t="str">
        <f aca="false">'Bank Inputs'!B10</f>
        <v>Deutsche Bank</v>
      </c>
      <c r="B10" s="18" t="str">
        <f aca="false">'Bank Inputs'!C10</f>
        <v>Core</v>
      </c>
      <c r="C10" s="17" t="n">
        <f aca="false">'Bank Inputs'!R10</f>
        <v>0.142373392852048</v>
      </c>
      <c r="D10" s="17" t="n">
        <f aca="false">'Bank Inputs'!S10</f>
        <v>0.1124</v>
      </c>
      <c r="E10" s="11" t="n">
        <f aca="false">C10-D10</f>
        <v>0.0299733928520482</v>
      </c>
      <c r="F10" s="17" t="n">
        <f aca="false">Stress!J11</f>
        <v>0.0246189296716277</v>
      </c>
      <c r="G10" s="17" t="n">
        <f aca="false">Stress!J26</f>
        <v>0.0219416980814175</v>
      </c>
      <c r="H10" s="17" t="n">
        <f aca="false">Stress!J41</f>
        <v>0.0139100033107869</v>
      </c>
      <c r="I10" s="17" t="n">
        <f aca="false">Stress!J56</f>
        <v>0.00253176905239347</v>
      </c>
      <c r="J10" s="17" t="n">
        <f aca="false">Stress!G56</f>
        <v>0.114931769052393</v>
      </c>
      <c r="K10" s="17" t="n">
        <f aca="false">Stress!G56-'Bank Inputs'!R10</f>
        <v>-0.0274416237996547</v>
      </c>
    </row>
    <row r="11" customFormat="false" ht="15" hidden="false" customHeight="true" outlineLevel="0" collapsed="false">
      <c r="A11" s="18" t="str">
        <f aca="false">'Bank Inputs'!B11</f>
        <v>Groupe Crédit Agricole</v>
      </c>
      <c r="B11" s="18" t="str">
        <f aca="false">'Bank Inputs'!C11</f>
        <v>Core</v>
      </c>
      <c r="C11" s="17" t="n">
        <f aca="false">'Bank Inputs'!R11</f>
        <v>0.175816535030652</v>
      </c>
      <c r="D11" s="17" t="n">
        <f aca="false">'Bank Inputs'!S11</f>
        <v>0.098</v>
      </c>
      <c r="E11" s="11" t="n">
        <f aca="false">C11-D11</f>
        <v>0.0778165350306519</v>
      </c>
      <c r="F11" s="17" t="n">
        <f aca="false">Stress!J12</f>
        <v>0.0697123490074027</v>
      </c>
      <c r="G11" s="17" t="n">
        <f aca="false">Stress!J27</f>
        <v>0.065660255995778</v>
      </c>
      <c r="H11" s="17" t="n">
        <f aca="false">Stress!J42</f>
        <v>0.0535039769609042</v>
      </c>
      <c r="I11" s="17" t="n">
        <f aca="false">Stress!J57</f>
        <v>0.0362825816614996</v>
      </c>
      <c r="J11" s="17" t="n">
        <f aca="false">Stress!G57</f>
        <v>0.1342825816615</v>
      </c>
      <c r="K11" s="17" t="n">
        <f aca="false">Stress!G57-'Bank Inputs'!R11</f>
        <v>-0.0415339533691523</v>
      </c>
    </row>
    <row r="12" customFormat="false" ht="15" hidden="false" customHeight="true" outlineLevel="0" collapsed="false">
      <c r="A12" s="18" t="str">
        <f aca="false">'Bank Inputs'!B12</f>
        <v>HSBC Continental Europe</v>
      </c>
      <c r="B12" s="18" t="str">
        <f aca="false">'Bank Inputs'!C12</f>
        <v>Core</v>
      </c>
      <c r="C12" s="17" t="n">
        <f aca="false">'Bank Inputs'!R12</f>
        <v>0.154729756972144</v>
      </c>
      <c r="D12" s="17" t="n">
        <f aca="false">'Bank Inputs'!S12</f>
        <v>0.097</v>
      </c>
      <c r="E12" s="11" t="n">
        <f aca="false">C12-D12</f>
        <v>0.0577297569721439</v>
      </c>
      <c r="F12" s="17" t="n">
        <f aca="false">Stress!J13</f>
        <v>0.0549100637758321</v>
      </c>
      <c r="G12" s="17" t="n">
        <f aca="false">Stress!J28</f>
        <v>0.0535002171776762</v>
      </c>
      <c r="H12" s="17" t="n">
        <f aca="false">Stress!J43</f>
        <v>0.0492706773832085</v>
      </c>
      <c r="I12" s="17" t="n">
        <f aca="false">Stress!J58</f>
        <v>0.0432788293410459</v>
      </c>
      <c r="J12" s="17" t="n">
        <f aca="false">Stress!G58</f>
        <v>0.140278829341046</v>
      </c>
      <c r="K12" s="17" t="n">
        <f aca="false">Stress!G58-'Bank Inputs'!R12</f>
        <v>-0.014450927631098</v>
      </c>
    </row>
    <row r="13" customFormat="false" ht="15" hidden="false" customHeight="true" outlineLevel="0" collapsed="false">
      <c r="A13" s="18" t="str">
        <f aca="false">'Bank Inputs'!B13</f>
        <v>ING Groep</v>
      </c>
      <c r="B13" s="18" t="str">
        <f aca="false">'Bank Inputs'!C13</f>
        <v>Core</v>
      </c>
      <c r="C13" s="17" t="n">
        <f aca="false">'Bank Inputs'!R13</f>
        <v>0.132619211615744</v>
      </c>
      <c r="D13" s="17" t="n">
        <f aca="false">'Bank Inputs'!S13</f>
        <v>0.1087</v>
      </c>
      <c r="E13" s="11" t="n">
        <f aca="false">C13-D13</f>
        <v>0.0239192116157437</v>
      </c>
      <c r="F13" s="17" t="n">
        <f aca="false">Stress!J14</f>
        <v>0.0172239914823714</v>
      </c>
      <c r="G13" s="17" t="n">
        <f aca="false">Stress!J29</f>
        <v>0.0138763814156852</v>
      </c>
      <c r="H13" s="17" t="n">
        <f aca="false">Stress!J44</f>
        <v>0.0038335512156266</v>
      </c>
      <c r="I13" s="17" t="n">
        <f aca="false">Stress!J59</f>
        <v>-0.0103937915677897</v>
      </c>
      <c r="J13" s="17" t="n">
        <f aca="false">Stress!G59</f>
        <v>0.0983062084322103</v>
      </c>
      <c r="K13" s="17" t="n">
        <f aca="false">Stress!G59-'Bank Inputs'!R13</f>
        <v>-0.0343130031835334</v>
      </c>
    </row>
    <row r="14" customFormat="false" ht="15" hidden="false" customHeight="true" outlineLevel="0" collapsed="false">
      <c r="A14" s="18" t="str">
        <f aca="false">'Bank Inputs'!B14</f>
        <v>Morgan Stanley Europe Holding SE</v>
      </c>
      <c r="B14" s="18" t="str">
        <f aca="false">'Bank Inputs'!C14</f>
        <v>Core</v>
      </c>
      <c r="C14" s="17" t="n">
        <f aca="false">'Bank Inputs'!R14</f>
        <v>0.179992870748293</v>
      </c>
      <c r="D14" s="17" t="n">
        <f aca="false">'Bank Inputs'!S14</f>
        <v>0.0956</v>
      </c>
      <c r="E14" s="11" t="n">
        <f aca="false">C14-D14</f>
        <v>0.0843928707482932</v>
      </c>
      <c r="F14" s="17" t="n">
        <f aca="false">Stress!J15</f>
        <v>0.0812595797254763</v>
      </c>
      <c r="G14" s="17" t="n">
        <f aca="false">Stress!J30</f>
        <v>0.0796929342140679</v>
      </c>
      <c r="H14" s="17" t="n">
        <f aca="false">Stress!J45</f>
        <v>0.0749929976798426</v>
      </c>
      <c r="I14" s="17" t="n">
        <f aca="false">Stress!J60</f>
        <v>0.0683347542563567</v>
      </c>
      <c r="J14" s="17" t="n">
        <f aca="false">Stress!G60</f>
        <v>0.163934754256357</v>
      </c>
      <c r="K14" s="17" t="n">
        <f aca="false">Stress!G60-'Bank Inputs'!R14</f>
        <v>-0.0160581164919365</v>
      </c>
    </row>
    <row r="15" customFormat="false" ht="15" hidden="false" customHeight="true" outlineLevel="0" collapsed="false">
      <c r="A15" s="18" t="str">
        <f aca="false">'Bank Inputs'!B15</f>
        <v>Revolut Holdings Europe</v>
      </c>
      <c r="B15" s="18" t="str">
        <f aca="false">'Bank Inputs'!C15</f>
        <v>Reference case</v>
      </c>
      <c r="C15" s="17" t="n">
        <f aca="false">'Bank Inputs'!R15</f>
        <v>0.313237945199325</v>
      </c>
      <c r="D15" s="17" t="n">
        <f aca="false">'Bank Inputs'!S15</f>
        <v>0.0997</v>
      </c>
      <c r="E15" s="11" t="n">
        <f aca="false">C15-D15</f>
        <v>0.213537945199325</v>
      </c>
      <c r="F15" s="17" t="n">
        <f aca="false">Stress!J16</f>
        <v>0.202469451291132</v>
      </c>
      <c r="G15" s="17" t="n">
        <f aca="false">Stress!J31</f>
        <v>0.196935204337035</v>
      </c>
      <c r="H15" s="17" t="n">
        <f aca="false">Stress!J46</f>
        <v>0.180332463474745</v>
      </c>
      <c r="I15" s="17" t="n">
        <f aca="false">Stress!J61</f>
        <v>0.156811913919835</v>
      </c>
      <c r="J15" s="17" t="n">
        <f aca="false">Stress!G61</f>
        <v>0.256511913919835</v>
      </c>
      <c r="K15" s="17" t="n">
        <f aca="false">Stress!G61-'Bank Inputs'!R15</f>
        <v>-0.0567260312794902</v>
      </c>
    </row>
    <row r="17" customFormat="false" ht="15" hidden="false" customHeight="true" outlineLevel="0" collapsed="false">
      <c r="A17" s="4" t="s">
        <v>221</v>
      </c>
      <c r="C17" s="11" t="n">
        <f aca="false">MEDIAN(C5:C14)</f>
        <v>0.143981770250145</v>
      </c>
      <c r="D17" s="11" t="n">
        <f aca="false">MEDIAN(D5:D14)</f>
        <v>0.103</v>
      </c>
      <c r="E17" s="11" t="n">
        <f aca="false">MEDIAN(E5:E14)</f>
        <v>0.0378194622166756</v>
      </c>
      <c r="F17" s="11" t="n">
        <f aca="false">MEDIAN(F5:F14)</f>
        <v>0.0315033432087386</v>
      </c>
      <c r="G17" s="11" t="n">
        <f aca="false">MEDIAN(G5:G14)</f>
        <v>0.02834528370477</v>
      </c>
      <c r="H17" s="11" t="n">
        <f aca="false">MEDIAN(H5:H14)</f>
        <v>0.0188711051928644</v>
      </c>
      <c r="I17" s="11" t="n">
        <f aca="false">MEDIAN(I5:I14)</f>
        <v>0.00544935230099812</v>
      </c>
      <c r="J17" s="11" t="n">
        <f aca="false">MEDIAN(J5:J14)</f>
        <v>0.111836259427347</v>
      </c>
      <c r="K17" s="11" t="n">
        <f aca="false">MEDIAN(K5:K14)</f>
        <v>-0.0305798732984848</v>
      </c>
    </row>
    <row r="18" customFormat="false" ht="15" hidden="false" customHeight="true" outlineLevel="0" collapsed="false">
      <c r="A18" s="4" t="s">
        <v>222</v>
      </c>
      <c r="C18" s="11" t="n">
        <f aca="false">MIN(C5:C14)</f>
        <v>0.124587208995145</v>
      </c>
      <c r="D18" s="11" t="n">
        <f aca="false">MIN(D5:D14)</f>
        <v>0.0956</v>
      </c>
      <c r="E18" s="11" t="n">
        <f aca="false">MIN(E5:E14)</f>
        <v>0.0216872089951446</v>
      </c>
      <c r="F18" s="11" t="n">
        <f aca="false">MIN(F5:F14)</f>
        <v>0.0150932456490414</v>
      </c>
      <c r="G18" s="11" t="n">
        <f aca="false">MIN(G5:G14)</f>
        <v>0.0115477187943681</v>
      </c>
      <c r="H18" s="11" t="n">
        <f aca="false">MIN(H5:H14)</f>
        <v>0.000911138230348052</v>
      </c>
      <c r="I18" s="11" t="n">
        <f aca="false">MIN(I5:I14)</f>
        <v>-0.0141573509020137</v>
      </c>
      <c r="J18" s="11" t="n">
        <f aca="false">MIN(J5:J14)</f>
        <v>0.0891426490979864</v>
      </c>
      <c r="K18" s="11" t="n">
        <f aca="false">MIN(K5:K14)</f>
        <v>-0.0415339533691523</v>
      </c>
    </row>
    <row r="19" customFormat="false" ht="15" hidden="false" customHeight="true" outlineLevel="0" collapsed="false">
      <c r="A19" s="4" t="s">
        <v>223</v>
      </c>
      <c r="E19" s="10" t="n">
        <f aca="false">COUNTIF(E5:E14,"&lt;0")</f>
        <v>0</v>
      </c>
      <c r="F19" s="10" t="n">
        <f aca="false">COUNTIF(F5:F14,"&lt;0")</f>
        <v>0</v>
      </c>
      <c r="G19" s="10" t="n">
        <f aca="false">COUNTIF(G5:G14,"&lt;0")</f>
        <v>0</v>
      </c>
      <c r="H19" s="10" t="n">
        <f aca="false">COUNTIF(H5:H14,"&lt;0")</f>
        <v>0</v>
      </c>
      <c r="I19" s="10" t="n">
        <f aca="false">COUNTIF(I5:I14,"&lt;0")</f>
        <v>3</v>
      </c>
    </row>
    <row r="20" customFormat="false" ht="15" hidden="false" customHeight="true" outlineLevel="0" collapsed="false">
      <c r="A20" s="4" t="s">
        <v>224</v>
      </c>
      <c r="E20" s="10" t="n">
        <f aca="false">COUNTIF(E5:E14,"&lt;0.01")</f>
        <v>0</v>
      </c>
      <c r="F20" s="10" t="n">
        <f aca="false">COUNTIF(F5:F14,"&lt;0.01")</f>
        <v>0</v>
      </c>
      <c r="G20" s="10" t="n">
        <f aca="false">COUNTIF(G5:G14,"&lt;0.01")</f>
        <v>0</v>
      </c>
      <c r="H20" s="10" t="n">
        <f aca="false">COUNTIF(H5:H14,"&lt;0.01")</f>
        <v>3</v>
      </c>
      <c r="I20" s="10" t="n">
        <f aca="false">COUNTIF(I5:I14,"&lt;0.01")</f>
        <v>6</v>
      </c>
    </row>
    <row r="22" customFormat="false" ht="15" hidden="false" customHeight="true" outlineLevel="0" collapsed="false">
      <c r="A22" s="3" t="s">
        <v>225</v>
      </c>
    </row>
    <row r="23" customFormat="false" ht="30" hidden="false" customHeight="true" outlineLevel="0" collapsed="false">
      <c r="A23" s="6" t="s">
        <v>107</v>
      </c>
      <c r="B23" s="6" t="s">
        <v>165</v>
      </c>
      <c r="C23" s="6" t="s">
        <v>213</v>
      </c>
      <c r="D23" s="6" t="s">
        <v>214</v>
      </c>
      <c r="E23" s="6" t="s">
        <v>180</v>
      </c>
      <c r="F23" s="6" t="s">
        <v>215</v>
      </c>
      <c r="G23" s="6" t="s">
        <v>216</v>
      </c>
      <c r="H23" s="6" t="s">
        <v>217</v>
      </c>
      <c r="I23" s="6" t="s">
        <v>218</v>
      </c>
      <c r="J23" s="6" t="s">
        <v>219</v>
      </c>
      <c r="K23" s="6" t="s">
        <v>220</v>
      </c>
    </row>
    <row r="24" customFormat="false" ht="15" hidden="false" customHeight="true" outlineLevel="0" collapsed="false">
      <c r="A24" s="18" t="str">
        <f aca="false">'Bank Inputs'!B5</f>
        <v>BAWAG Group</v>
      </c>
      <c r="B24" s="18" t="str">
        <f aca="false">'Bank Inputs'!C5</f>
        <v>Core</v>
      </c>
      <c r="C24" s="17" t="n">
        <f aca="false">'Bank Inputs'!R5</f>
        <v>0.125484299358388</v>
      </c>
      <c r="D24" s="17" t="n">
        <f aca="false">'Bank Inputs'!S5</f>
        <v>0.1033</v>
      </c>
      <c r="E24" s="11" t="n">
        <f aca="false">C24-D24</f>
        <v>0.0221842993583881</v>
      </c>
      <c r="F24" s="17" t="n">
        <f aca="false">Stress!S6</f>
        <v>0.0415747555546614</v>
      </c>
      <c r="G24" s="17" t="n">
        <f aca="false">Stress!S21</f>
        <v>0.0398374473958714</v>
      </c>
      <c r="H24" s="17" t="n">
        <f aca="false">Stress!S36</f>
        <v>0.0803556679472079</v>
      </c>
      <c r="I24" s="17" t="n">
        <f aca="false">Stress!S51</f>
        <v>0.0729721082723507</v>
      </c>
      <c r="J24" s="17" t="n">
        <f aca="false">Stress!R51</f>
        <v>0.176272108272351</v>
      </c>
      <c r="K24" s="17" t="n">
        <f aca="false">Stress!R51-'Bank Inputs'!R5</f>
        <v>0.0507878089139626</v>
      </c>
    </row>
    <row r="25" customFormat="false" ht="15" hidden="false" customHeight="true" outlineLevel="0" collapsed="false">
      <c r="A25" s="18" t="str">
        <f aca="false">'Bank Inputs'!B6</f>
        <v>BNP Paribas</v>
      </c>
      <c r="B25" s="18" t="str">
        <f aca="false">'Bank Inputs'!C6</f>
        <v>Core</v>
      </c>
      <c r="C25" s="17" t="n">
        <f aca="false">'Bank Inputs'!R6</f>
        <v>0.124587208995145</v>
      </c>
      <c r="D25" s="17" t="n">
        <f aca="false">'Bank Inputs'!S6</f>
        <v>0.1029</v>
      </c>
      <c r="E25" s="11" t="n">
        <f aca="false">C25-D25</f>
        <v>0.0216872089951446</v>
      </c>
      <c r="F25" s="17" t="n">
        <f aca="false">Stress!S7</f>
        <v>0.0301089416521279</v>
      </c>
      <c r="G25" s="17" t="n">
        <f aca="false">Stress!S22</f>
        <v>0.0289476182025693</v>
      </c>
      <c r="H25" s="17" t="n">
        <f aca="false">Stress!S37</f>
        <v>0.0469524069660944</v>
      </c>
      <c r="I25" s="17" t="n">
        <f aca="false">Stress!S52</f>
        <v>0.0420167823054705</v>
      </c>
      <c r="J25" s="17" t="n">
        <f aca="false">Stress!R52</f>
        <v>0.14491678230547</v>
      </c>
      <c r="K25" s="17" t="n">
        <f aca="false">Stress!R52-'Bank Inputs'!R6</f>
        <v>0.0203295733103259</v>
      </c>
    </row>
    <row r="26" customFormat="false" ht="15" hidden="false" customHeight="true" outlineLevel="0" collapsed="false">
      <c r="A26" s="18" t="str">
        <f aca="false">'Bank Inputs'!B7</f>
        <v>Banco Santander</v>
      </c>
      <c r="B26" s="18" t="str">
        <f aca="false">'Bank Inputs'!C7</f>
        <v>Core</v>
      </c>
      <c r="C26" s="17" t="n">
        <f aca="false">'Bank Inputs'!R7</f>
        <v>0.12984877678511</v>
      </c>
      <c r="D26" s="17" t="n">
        <f aca="false">'Bank Inputs'!S7</f>
        <v>0.0967</v>
      </c>
      <c r="E26" s="11" t="n">
        <f aca="false">C26-D26</f>
        <v>0.0331487767851096</v>
      </c>
      <c r="F26" s="17" t="n">
        <f aca="false">Stress!S8</f>
        <v>0.044718081929931</v>
      </c>
      <c r="G26" s="17" t="n">
        <f aca="false">Stress!S23</f>
        <v>0.0433847645862381</v>
      </c>
      <c r="H26" s="17" t="n">
        <f aca="false">Stress!S38</f>
        <v>0.0678566922195738</v>
      </c>
      <c r="I26" s="17" t="n">
        <f aca="false">Stress!S53</f>
        <v>0.0621900935088789</v>
      </c>
      <c r="J26" s="17" t="n">
        <f aca="false">Stress!R53</f>
        <v>0.158890093508879</v>
      </c>
      <c r="K26" s="17" t="n">
        <f aca="false">Stress!R53-'Bank Inputs'!R7</f>
        <v>0.0290413167237693</v>
      </c>
    </row>
    <row r="27" customFormat="false" ht="15" hidden="false" customHeight="true" outlineLevel="0" collapsed="false">
      <c r="A27" s="18" t="str">
        <f aca="false">'Bank Inputs'!B8</f>
        <v>CEC Bank</v>
      </c>
      <c r="B27" s="18" t="str">
        <f aca="false">'Bank Inputs'!C8</f>
        <v>Core</v>
      </c>
      <c r="C27" s="17" t="n">
        <f aca="false">'Bank Inputs'!R8</f>
        <v>0.239688775971869</v>
      </c>
      <c r="D27" s="17" t="n">
        <f aca="false">'Bank Inputs'!S8</f>
        <v>0.122</v>
      </c>
      <c r="E27" s="11" t="n">
        <f aca="false">C27-D27</f>
        <v>0.117688775971869</v>
      </c>
      <c r="F27" s="17" t="n">
        <f aca="false">Stress!S9</f>
        <v>0.128046872947841</v>
      </c>
      <c r="G27" s="17" t="n">
        <f aca="false">Stress!S24</f>
        <v>0.126456456063972</v>
      </c>
      <c r="H27" s="17" t="n">
        <f aca="false">Stress!S39</f>
        <v>0.148763066899785</v>
      </c>
      <c r="I27" s="17" t="n">
        <f aca="false">Stress!S54</f>
        <v>0.14200379514334</v>
      </c>
      <c r="J27" s="17" t="n">
        <f aca="false">Stress!R54</f>
        <v>0.26400379514334</v>
      </c>
      <c r="K27" s="17" t="n">
        <f aca="false">Stress!R54-'Bank Inputs'!R8</f>
        <v>0.0243150191714702</v>
      </c>
    </row>
    <row r="28" customFormat="false" ht="15" hidden="false" customHeight="true" outlineLevel="0" collapsed="false">
      <c r="A28" s="18" t="str">
        <f aca="false">'Bank Inputs'!B9</f>
        <v>Commerzbank</v>
      </c>
      <c r="B28" s="18" t="str">
        <f aca="false">'Bank Inputs'!C9</f>
        <v>Core</v>
      </c>
      <c r="C28" s="17" t="n">
        <f aca="false">'Bank Inputs'!R9</f>
        <v>0.145590147648242</v>
      </c>
      <c r="D28" s="17" t="n">
        <f aca="false">'Bank Inputs'!S9</f>
        <v>0.1031</v>
      </c>
      <c r="E28" s="11" t="n">
        <f aca="false">C28-D28</f>
        <v>0.0424901476482417</v>
      </c>
      <c r="F28" s="17" t="n">
        <f aca="false">Stress!S10</f>
        <v>0.0493109924521747</v>
      </c>
      <c r="G28" s="17" t="n">
        <f aca="false">Stress!S25</f>
        <v>0.0475494114819785</v>
      </c>
      <c r="H28" s="17" t="n">
        <f aca="false">Stress!S40</f>
        <v>0.0629526820600408</v>
      </c>
      <c r="I28" s="17" t="n">
        <f aca="false">Stress!S55</f>
        <v>0.0554659629367067</v>
      </c>
      <c r="J28" s="17" t="n">
        <f aca="false">Stress!R55</f>
        <v>0.158565962936707</v>
      </c>
      <c r="K28" s="17" t="n">
        <f aca="false">Stress!R55-'Bank Inputs'!R9</f>
        <v>0.012975815288465</v>
      </c>
    </row>
    <row r="29" customFormat="false" ht="15" hidden="false" customHeight="true" outlineLevel="0" collapsed="false">
      <c r="A29" s="18" t="str">
        <f aca="false">'Bank Inputs'!B10</f>
        <v>Deutsche Bank</v>
      </c>
      <c r="B29" s="18" t="str">
        <f aca="false">'Bank Inputs'!C10</f>
        <v>Core</v>
      </c>
      <c r="C29" s="17" t="n">
        <f aca="false">'Bank Inputs'!R10</f>
        <v>0.142373392852048</v>
      </c>
      <c r="D29" s="17" t="n">
        <f aca="false">'Bank Inputs'!S10</f>
        <v>0.1124</v>
      </c>
      <c r="E29" s="11" t="n">
        <f aca="false">C29-D29</f>
        <v>0.0299733928520482</v>
      </c>
      <c r="F29" s="17" t="n">
        <f aca="false">Stress!S11</f>
        <v>0.0424277477089523</v>
      </c>
      <c r="G29" s="17" t="n">
        <f aca="false">Stress!S26</f>
        <v>0.0411159042297493</v>
      </c>
      <c r="H29" s="17" t="n">
        <f aca="false">Stress!S41</f>
        <v>0.0673364574227605</v>
      </c>
      <c r="I29" s="17" t="n">
        <f aca="false">Stress!S56</f>
        <v>0.0617611226361477</v>
      </c>
      <c r="J29" s="17" t="n">
        <f aca="false">Stress!R56</f>
        <v>0.174161122636148</v>
      </c>
      <c r="K29" s="17" t="n">
        <f aca="false">Stress!R56-'Bank Inputs'!R10</f>
        <v>0.0317877297840996</v>
      </c>
    </row>
    <row r="30" customFormat="false" ht="15" hidden="false" customHeight="true" outlineLevel="0" collapsed="false">
      <c r="A30" s="18" t="str">
        <f aca="false">'Bank Inputs'!B11</f>
        <v>Groupe Crédit Agricole</v>
      </c>
      <c r="B30" s="18" t="str">
        <f aca="false">'Bank Inputs'!C11</f>
        <v>Core</v>
      </c>
      <c r="C30" s="17" t="n">
        <f aca="false">'Bank Inputs'!R11</f>
        <v>0.175816535030652</v>
      </c>
      <c r="D30" s="17" t="n">
        <f aca="false">'Bank Inputs'!S11</f>
        <v>0.098</v>
      </c>
      <c r="E30" s="11" t="n">
        <f aca="false">C30-D30</f>
        <v>0.0778165350306519</v>
      </c>
      <c r="F30" s="17" t="n">
        <f aca="false">Stress!S12</f>
        <v>0.0839122786760846</v>
      </c>
      <c r="G30" s="17" t="n">
        <f aca="false">Stress!S27</f>
        <v>0.0819267531003886</v>
      </c>
      <c r="H30" s="17" t="n">
        <f aca="false">Stress!S42</f>
        <v>0.0961037659669501</v>
      </c>
      <c r="I30" s="17" t="n">
        <f aca="false">Stress!S57</f>
        <v>0.0876652822702418</v>
      </c>
      <c r="J30" s="17" t="n">
        <f aca="false">Stress!R57</f>
        <v>0.185665282270242</v>
      </c>
      <c r="K30" s="17" t="n">
        <f aca="false">Stress!R57-'Bank Inputs'!R11</f>
        <v>0.00984874723958987</v>
      </c>
    </row>
    <row r="31" customFormat="false" ht="15" hidden="false" customHeight="true" outlineLevel="0" collapsed="false">
      <c r="A31" s="18" t="str">
        <f aca="false">'Bank Inputs'!B12</f>
        <v>HSBC Continental Europe</v>
      </c>
      <c r="B31" s="18" t="str">
        <f aca="false">'Bank Inputs'!C12</f>
        <v>Core</v>
      </c>
      <c r="C31" s="17" t="n">
        <f aca="false">'Bank Inputs'!R12</f>
        <v>0.154729756972144</v>
      </c>
      <c r="D31" s="17" t="n">
        <f aca="false">'Bank Inputs'!S12</f>
        <v>0.097</v>
      </c>
      <c r="E31" s="11" t="n">
        <f aca="false">C31-D31</f>
        <v>0.0577297569721439</v>
      </c>
      <c r="F31" s="17" t="n">
        <f aca="false">Stress!S13</f>
        <v>0.0635669631636523</v>
      </c>
      <c r="G31" s="17" t="n">
        <f aca="false">Stress!S28</f>
        <v>0.0628761383305559</v>
      </c>
      <c r="H31" s="17" t="n">
        <f aca="false">Stress!S43</f>
        <v>0.0752413755466691</v>
      </c>
      <c r="I31" s="17" t="n">
        <f aca="false">Stress!S58</f>
        <v>0.0723053700060094</v>
      </c>
      <c r="J31" s="17" t="n">
        <f aca="false">Stress!R58</f>
        <v>0.169305370006009</v>
      </c>
      <c r="K31" s="17" t="n">
        <f aca="false">Stress!R58-'Bank Inputs'!R12</f>
        <v>0.0145756130338655</v>
      </c>
    </row>
    <row r="32" customFormat="false" ht="15" hidden="false" customHeight="true" outlineLevel="0" collapsed="false">
      <c r="A32" s="18" t="str">
        <f aca="false">'Bank Inputs'!B13</f>
        <v>ING Groep</v>
      </c>
      <c r="B32" s="18" t="str">
        <f aca="false">'Bank Inputs'!C13</f>
        <v>Core</v>
      </c>
      <c r="C32" s="17" t="n">
        <f aca="false">'Bank Inputs'!R13</f>
        <v>0.132619211615744</v>
      </c>
      <c r="D32" s="17" t="n">
        <f aca="false">'Bank Inputs'!S13</f>
        <v>0.1087</v>
      </c>
      <c r="E32" s="11" t="n">
        <f aca="false">C32-D32</f>
        <v>0.0239192116157437</v>
      </c>
      <c r="F32" s="17" t="n">
        <f aca="false">Stress!S14</f>
        <v>0.0337508937494155</v>
      </c>
      <c r="G32" s="17" t="n">
        <f aca="false">Stress!S29</f>
        <v>0.0321105648167392</v>
      </c>
      <c r="H32" s="17" t="n">
        <f aca="false">Stress!S44</f>
        <v>0.0534142580167589</v>
      </c>
      <c r="I32" s="17" t="n">
        <f aca="false">Stress!S59</f>
        <v>0.0464428600528849</v>
      </c>
      <c r="J32" s="17" t="n">
        <f aca="false">Stress!R59</f>
        <v>0.155142860052885</v>
      </c>
      <c r="K32" s="17" t="n">
        <f aca="false">Stress!R59-'Bank Inputs'!R13</f>
        <v>0.0225236484371412</v>
      </c>
    </row>
    <row r="33" customFormat="false" ht="15" hidden="false" customHeight="true" outlineLevel="0" collapsed="false">
      <c r="A33" s="18" t="str">
        <f aca="false">'Bank Inputs'!B14</f>
        <v>Morgan Stanley Europe Holding SE</v>
      </c>
      <c r="B33" s="18" t="str">
        <f aca="false">'Bank Inputs'!C14</f>
        <v>Core</v>
      </c>
      <c r="C33" s="17" t="n">
        <f aca="false">'Bank Inputs'!R14</f>
        <v>0.179992870748293</v>
      </c>
      <c r="D33" s="17" t="n">
        <f aca="false">'Bank Inputs'!S14</f>
        <v>0.0956</v>
      </c>
      <c r="E33" s="11" t="n">
        <f aca="false">C33-D33</f>
        <v>0.0843928707482932</v>
      </c>
      <c r="F33" s="17" t="n">
        <f aca="false">Stress!S15</f>
        <v>0.0904130277487911</v>
      </c>
      <c r="G33" s="17" t="n">
        <f aca="false">Stress!S30</f>
        <v>0.089645371448201</v>
      </c>
      <c r="H33" s="17" t="n">
        <f aca="false">Stress!S45</f>
        <v>0.102453341749787</v>
      </c>
      <c r="I33" s="17" t="n">
        <f aca="false">Stress!S60</f>
        <v>0.0991908024722788</v>
      </c>
      <c r="J33" s="17" t="n">
        <f aca="false">Stress!R60</f>
        <v>0.194790802472279</v>
      </c>
      <c r="K33" s="17" t="n">
        <f aca="false">Stress!R60-'Bank Inputs'!R14</f>
        <v>0.0147979317239856</v>
      </c>
    </row>
    <row r="34" customFormat="false" ht="15" hidden="false" customHeight="true" outlineLevel="0" collapsed="false">
      <c r="A34" s="18" t="str">
        <f aca="false">'Bank Inputs'!B15</f>
        <v>Revolut Holdings Europe</v>
      </c>
      <c r="B34" s="18" t="str">
        <f aca="false">'Bank Inputs'!C15</f>
        <v>Reference case</v>
      </c>
      <c r="C34" s="17" t="n">
        <f aca="false">'Bank Inputs'!R15</f>
        <v>0.313237945199325</v>
      </c>
      <c r="D34" s="17" t="n">
        <f aca="false">'Bank Inputs'!S15</f>
        <v>0.0997</v>
      </c>
      <c r="E34" s="11" t="n">
        <f aca="false">C34-D34</f>
        <v>0.213537945199325</v>
      </c>
      <c r="F34" s="17" t="n">
        <f aca="false">Stress!S16</f>
        <v>0.239723107827765</v>
      </c>
      <c r="G34" s="17" t="n">
        <f aca="false">Stress!S31</f>
        <v>0.237011326820258</v>
      </c>
      <c r="H34" s="17" t="n">
        <f aca="false">Stress!S46</f>
        <v>0.292093433084645</v>
      </c>
      <c r="I34" s="17" t="n">
        <f aca="false">Stress!S61</f>
        <v>0.280568363802739</v>
      </c>
      <c r="J34" s="17" t="n">
        <f aca="false">Stress!R61</f>
        <v>0.380268363802739</v>
      </c>
      <c r="K34" s="17" t="n">
        <f aca="false">Stress!R61-'Bank Inputs'!R15</f>
        <v>0.0670304186034143</v>
      </c>
    </row>
    <row r="36" customFormat="false" ht="15" hidden="false" customHeight="true" outlineLevel="0" collapsed="false">
      <c r="A36" s="4" t="s">
        <v>221</v>
      </c>
      <c r="C36" s="11" t="n">
        <f aca="false">MEDIAN(C24:C33)</f>
        <v>0.143981770250145</v>
      </c>
      <c r="D36" s="11" t="n">
        <f aca="false">MEDIAN(D24:D33)</f>
        <v>0.103</v>
      </c>
      <c r="E36" s="11" t="n">
        <f aca="false">MEDIAN(E24:E33)</f>
        <v>0.0378194622166756</v>
      </c>
      <c r="F36" s="11" t="n">
        <f aca="false">MEDIAN(F24:F33)</f>
        <v>0.0470145371910529</v>
      </c>
      <c r="G36" s="11" t="n">
        <f aca="false">MEDIAN(G24:G33)</f>
        <v>0.0454670880341083</v>
      </c>
      <c r="H36" s="11" t="n">
        <f aca="false">MEDIAN(H24:H33)</f>
        <v>0.0715490338831214</v>
      </c>
      <c r="I36" s="11" t="n">
        <f aca="false">MEDIAN(I24:I33)</f>
        <v>0.0672477317574441</v>
      </c>
      <c r="J36" s="11" t="n">
        <f aca="false">MEDIAN(J24:J33)</f>
        <v>0.171733246321079</v>
      </c>
      <c r="K36" s="11" t="n">
        <f aca="false">MEDIAN(K24:K33)</f>
        <v>0.0214266108737335</v>
      </c>
    </row>
    <row r="37" customFormat="false" ht="15" hidden="false" customHeight="true" outlineLevel="0" collapsed="false">
      <c r="A37" s="4" t="s">
        <v>222</v>
      </c>
      <c r="C37" s="11" t="n">
        <f aca="false">MIN(C24:C33)</f>
        <v>0.124587208995145</v>
      </c>
      <c r="D37" s="11" t="n">
        <f aca="false">MIN(D24:D33)</f>
        <v>0.0956</v>
      </c>
      <c r="E37" s="11" t="n">
        <f aca="false">MIN(E24:E33)</f>
        <v>0.0216872089951446</v>
      </c>
      <c r="F37" s="11" t="n">
        <f aca="false">MIN(F24:F33)</f>
        <v>0.0301089416521279</v>
      </c>
      <c r="G37" s="11" t="n">
        <f aca="false">MIN(G24:G33)</f>
        <v>0.0289476182025693</v>
      </c>
      <c r="H37" s="11" t="n">
        <f aca="false">MIN(H24:H33)</f>
        <v>0.0469524069660944</v>
      </c>
      <c r="I37" s="11" t="n">
        <f aca="false">MIN(I24:I33)</f>
        <v>0.0420167823054705</v>
      </c>
      <c r="J37" s="11" t="n">
        <f aca="false">MIN(J24:J33)</f>
        <v>0.14491678230547</v>
      </c>
      <c r="K37" s="11" t="n">
        <f aca="false">MIN(K24:K33)</f>
        <v>0.00984874723958987</v>
      </c>
    </row>
    <row r="38" customFormat="false" ht="15" hidden="false" customHeight="true" outlineLevel="0" collapsed="false">
      <c r="A38" s="4" t="s">
        <v>223</v>
      </c>
      <c r="E38" s="10" t="n">
        <f aca="false">COUNTIF(E24:E33,"&lt;0")</f>
        <v>0</v>
      </c>
      <c r="F38" s="10" t="n">
        <f aca="false">COUNTIF(F24:F33,"&lt;0")</f>
        <v>0</v>
      </c>
      <c r="G38" s="10" t="n">
        <f aca="false">COUNTIF(G24:G33,"&lt;0")</f>
        <v>0</v>
      </c>
      <c r="H38" s="10" t="n">
        <f aca="false">COUNTIF(H24:H33,"&lt;0")</f>
        <v>0</v>
      </c>
      <c r="I38" s="10" t="n">
        <f aca="false">COUNTIF(I24:I33,"&lt;0")</f>
        <v>0</v>
      </c>
    </row>
    <row r="39" customFormat="false" ht="15" hidden="false" customHeight="true" outlineLevel="0" collapsed="false">
      <c r="A39" s="4" t="s">
        <v>224</v>
      </c>
      <c r="E39" s="10" t="n">
        <f aca="false">COUNTIF(E24:E33,"&lt;0.01")</f>
        <v>0</v>
      </c>
      <c r="F39" s="10" t="n">
        <f aca="false">COUNTIF(F24:F33,"&lt;0.01")</f>
        <v>0</v>
      </c>
      <c r="G39" s="10" t="n">
        <f aca="false">COUNTIF(G24:G33,"&lt;0.01")</f>
        <v>0</v>
      </c>
      <c r="H39" s="10" t="n">
        <f aca="false">COUNTIF(H24:H33,"&lt;0.01")</f>
        <v>0</v>
      </c>
      <c r="I39" s="10" t="n">
        <f aca="false">COUNTIF(I24:I33,"&lt;0.01")</f>
        <v>0</v>
      </c>
    </row>
    <row r="41" customFormat="false" ht="15" hidden="false" customHeight="true" outlineLevel="0" collapsed="false">
      <c r="A41" s="12"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7" min="2" style="1" width="14"/>
  </cols>
  <sheetData>
    <row r="1" customFormat="false" ht="17.25" hidden="false" customHeight="true" outlineLevel="0" collapsed="false">
      <c r="A1" s="2" t="s">
        <v>227</v>
      </c>
    </row>
    <row r="2" customFormat="false" ht="15" hidden="false" customHeight="true" outlineLevel="0" collapsed="false">
      <c r="A2" s="12" t="s">
        <v>228</v>
      </c>
    </row>
    <row r="4" customFormat="false" ht="15" hidden="false" customHeight="true" outlineLevel="0" collapsed="false">
      <c r="A4" s="4" t="s">
        <v>229</v>
      </c>
      <c r="B4" s="7" t="n">
        <v>0.003</v>
      </c>
      <c r="C4" s="4" t="s">
        <v>230</v>
      </c>
      <c r="D4" s="7" t="n">
        <v>0.1</v>
      </c>
      <c r="E4" s="4" t="s">
        <v>231</v>
      </c>
      <c r="F4" s="7" t="n">
        <v>0.5</v>
      </c>
    </row>
    <row r="6" customFormat="false" ht="15" hidden="false" customHeight="true" outlineLevel="0" collapsed="false">
      <c r="A6" s="3" t="s">
        <v>232</v>
      </c>
    </row>
    <row r="7" customFormat="false" ht="23.25" hidden="false" customHeight="true" outlineLevel="0" collapsed="false">
      <c r="A7" s="6" t="s">
        <v>107</v>
      </c>
      <c r="B7" s="6" t="s">
        <v>165</v>
      </c>
      <c r="C7" s="6" t="s">
        <v>233</v>
      </c>
      <c r="D7" s="6" t="s">
        <v>234</v>
      </c>
      <c r="E7" s="6" t="s">
        <v>235</v>
      </c>
      <c r="F7" s="6" t="s">
        <v>236</v>
      </c>
      <c r="G7" s="6" t="s">
        <v>237</v>
      </c>
    </row>
    <row r="8" customFormat="false" ht="15" hidden="false" customHeight="true" outlineLevel="0" collapsed="false">
      <c r="A8" s="18" t="str">
        <f aca="false">'Bank Inputs'!B5</f>
        <v>BAWAG Group</v>
      </c>
      <c r="B8" s="18" t="str">
        <f aca="false">'Bank Inputs'!C5</f>
        <v>Core</v>
      </c>
      <c r="C8" s="11" t="n">
        <f aca="false">('Bank Inputs'!F5-(Assumptions!$C$7)*'Bank Inputs'!J5*('Bank Inputs'!M5))/'Bank Inputs'!E5-'Bank Inputs'!S5</f>
        <v>-0.0141573509020137</v>
      </c>
      <c r="D8" s="11" t="n">
        <f aca="false">('Bank Inputs'!F5-(Assumptions!$C$7-$B$4)*'Bank Inputs'!J5*('Bank Inputs'!M5))/'Bank Inputs'!E5-'Bank Inputs'!S5</f>
        <v>-0.0114982057610087</v>
      </c>
      <c r="E8" s="11" t="n">
        <f aca="false">('Bank Inputs'!F5-(Assumptions!$C$7+$B$4)*'Bank Inputs'!J5*('Bank Inputs'!M5))/'Bank Inputs'!E5-'Bank Inputs'!S5</f>
        <v>-0.0168164960430187</v>
      </c>
      <c r="F8" s="11" t="n">
        <f aca="false">('Bank Inputs'!F5-(Assumptions!$C$7)*'Bank Inputs'!J5*(MAX('Bank Inputs'!M5-$D$4,0)))/'Bank Inputs'!E5-'Bank Inputs'!S5</f>
        <v>-0.00545080181581673</v>
      </c>
      <c r="G8" s="11" t="n">
        <f aca="false">('Bank Inputs'!F5-(Assumptions!$C$7)*'Bank Inputs'!J5*(MIN('Bank Inputs'!M5+$D$4,1)))/'Bank Inputs'!E5-'Bank Inputs'!S5</f>
        <v>-0.0228638999882106</v>
      </c>
    </row>
    <row r="9" customFormat="false" ht="15" hidden="false" customHeight="true" outlineLevel="0" collapsed="false">
      <c r="A9" s="18" t="str">
        <f aca="false">'Bank Inputs'!B6</f>
        <v>BNP Paribas</v>
      </c>
      <c r="B9" s="18" t="str">
        <f aca="false">'Bank Inputs'!C6</f>
        <v>Core</v>
      </c>
      <c r="C9" s="11" t="n">
        <f aca="false">('Bank Inputs'!F6-(Assumptions!$C$7)*'Bank Inputs'!J6*('Bank Inputs'!M6))/'Bank Inputs'!E6-'Bank Inputs'!S6</f>
        <v>-0.00260578153133602</v>
      </c>
      <c r="D9" s="11" t="n">
        <f aca="false">('Bank Inputs'!F6-(Assumptions!$C$7-$B$4)*'Bank Inputs'!J6*('Bank Inputs'!M6))/'Bank Inputs'!E6-'Bank Inputs'!S6</f>
        <v>-0.000828245639154512</v>
      </c>
      <c r="E9" s="11" t="n">
        <f aca="false">('Bank Inputs'!F6-(Assumptions!$C$7+$B$4)*'Bank Inputs'!J6*('Bank Inputs'!M6))/'Bank Inputs'!E6-'Bank Inputs'!S6</f>
        <v>-0.00438331742351754</v>
      </c>
      <c r="F9" s="11" t="n">
        <f aca="false">('Bank Inputs'!F6-(Assumptions!$C$7)*'Bank Inputs'!J6*(MAX('Bank Inputs'!M6-$D$4,0)))/'Bank Inputs'!E6-'Bank Inputs'!S6</f>
        <v>0.00240256768861709</v>
      </c>
      <c r="G9" s="11" t="n">
        <f aca="false">('Bank Inputs'!F6-(Assumptions!$C$7)*'Bank Inputs'!J6*(MIN('Bank Inputs'!M6+$D$4,1)))/'Bank Inputs'!E6-'Bank Inputs'!S6</f>
        <v>-0.00761413075128911</v>
      </c>
    </row>
    <row r="10" customFormat="false" ht="15" hidden="false" customHeight="true" outlineLevel="0" collapsed="false">
      <c r="A10" s="18" t="str">
        <f aca="false">'Bank Inputs'!B7</f>
        <v>Banco Santander</v>
      </c>
      <c r="B10" s="18" t="str">
        <f aca="false">'Bank Inputs'!C7</f>
        <v>Core</v>
      </c>
      <c r="C10" s="11" t="n">
        <f aca="false">('Bank Inputs'!F7-(Assumptions!$C$7)*'Bank Inputs'!J7*('Bank Inputs'!M7))/'Bank Inputs'!E7-'Bank Inputs'!S7</f>
        <v>0.00525795479969655</v>
      </c>
      <c r="D10" s="11" t="n">
        <f aca="false">('Bank Inputs'!F7-(Assumptions!$C$7-$B$4)*'Bank Inputs'!J7*('Bank Inputs'!M7))/'Bank Inputs'!E7-'Bank Inputs'!S7</f>
        <v>0.00729874665228776</v>
      </c>
      <c r="E10" s="11" t="n">
        <f aca="false">('Bank Inputs'!F7-(Assumptions!$C$7+$B$4)*'Bank Inputs'!J7*('Bank Inputs'!M7))/'Bank Inputs'!E7-'Bank Inputs'!S7</f>
        <v>0.00321716294710536</v>
      </c>
      <c r="F10" s="11" t="n">
        <f aca="false">('Bank Inputs'!F7-(Assumptions!$C$7)*'Bank Inputs'!J7*(MAX('Bank Inputs'!M7-$D$4,0)))/'Bank Inputs'!E7-'Bank Inputs'!S7</f>
        <v>0.0122922426282189</v>
      </c>
      <c r="G10" s="11" t="n">
        <f aca="false">('Bank Inputs'!F7-(Assumptions!$C$7)*'Bank Inputs'!J7*(MIN('Bank Inputs'!M7+$D$4,1)))/'Bank Inputs'!E7-'Bank Inputs'!S7</f>
        <v>-0.00177633302882579</v>
      </c>
    </row>
    <row r="11" customFormat="false" ht="15" hidden="false" customHeight="true" outlineLevel="0" collapsed="false">
      <c r="A11" s="18" t="str">
        <f aca="false">'Bank Inputs'!B8</f>
        <v>CEC Bank</v>
      </c>
      <c r="B11" s="18" t="str">
        <f aca="false">'Bank Inputs'!C8</f>
        <v>Core</v>
      </c>
      <c r="C11" s="11" t="n">
        <f aca="false">('Bank Inputs'!F8-(Assumptions!$C$7)*'Bank Inputs'!J8*('Bank Inputs'!M8))/'Bank Inputs'!E8-'Bank Inputs'!S8</f>
        <v>0.0844198513603127</v>
      </c>
      <c r="D11" s="11" t="n">
        <f aca="false">('Bank Inputs'!F8-(Assumptions!$C$7-$B$4)*'Bank Inputs'!J8*('Bank Inputs'!M8))/'Bank Inputs'!E8-'Bank Inputs'!S8</f>
        <v>0.0868541629172559</v>
      </c>
      <c r="E11" s="11" t="n">
        <f aca="false">('Bank Inputs'!F8-(Assumptions!$C$7+$B$4)*'Bank Inputs'!J8*('Bank Inputs'!M8))/'Bank Inputs'!E8-'Bank Inputs'!S8</f>
        <v>0.0819855398033696</v>
      </c>
      <c r="F11" s="11" t="n">
        <f aca="false">('Bank Inputs'!F8-(Assumptions!$C$7)*'Bank Inputs'!J8*(MAX('Bank Inputs'!M8-$D$4,0)))/'Bank Inputs'!E8-'Bank Inputs'!S8</f>
        <v>0.0905457898874843</v>
      </c>
      <c r="G11" s="11" t="n">
        <f aca="false">('Bank Inputs'!F8-(Assumptions!$C$7)*'Bank Inputs'!J8*(MIN('Bank Inputs'!M8+$D$4,1)))/'Bank Inputs'!E8-'Bank Inputs'!S8</f>
        <v>0.0782939128331412</v>
      </c>
    </row>
    <row r="12" customFormat="false" ht="15" hidden="false" customHeight="true" outlineLevel="0" collapsed="false">
      <c r="A12" s="18" t="str">
        <f aca="false">'Bank Inputs'!B9</f>
        <v>Commerzbank</v>
      </c>
      <c r="B12" s="18" t="str">
        <f aca="false">'Bank Inputs'!C9</f>
        <v>Core</v>
      </c>
      <c r="C12" s="11" t="n">
        <f aca="false">('Bank Inputs'!F9-(Assumptions!$C$7)*'Bank Inputs'!J9*('Bank Inputs'!M9))/'Bank Inputs'!E9-'Bank Inputs'!S9</f>
        <v>0.00564074980229969</v>
      </c>
      <c r="D12" s="11" t="n">
        <f aca="false">('Bank Inputs'!F9-(Assumptions!$C$7-$B$4)*'Bank Inputs'!J9*('Bank Inputs'!M9))/'Bank Inputs'!E9-'Bank Inputs'!S9</f>
        <v>0.00833704720566131</v>
      </c>
      <c r="E12" s="11" t="n">
        <f aca="false">('Bank Inputs'!F9-(Assumptions!$C$7+$B$4)*'Bank Inputs'!J9*('Bank Inputs'!M9))/'Bank Inputs'!E9-'Bank Inputs'!S9</f>
        <v>0.00294445239893806</v>
      </c>
      <c r="F12" s="11" t="n">
        <f aca="false">('Bank Inputs'!F9-(Assumptions!$C$7)*'Bank Inputs'!J9*(MAX('Bank Inputs'!M9-$D$4,0)))/'Bank Inputs'!E9-'Bank Inputs'!S9</f>
        <v>0.0140766864026568</v>
      </c>
      <c r="G12" s="11" t="n">
        <f aca="false">('Bank Inputs'!F9-(Assumptions!$C$7)*'Bank Inputs'!J9*(MIN('Bank Inputs'!M9+$D$4,1)))/'Bank Inputs'!E9-'Bank Inputs'!S9</f>
        <v>-0.0027951867980574</v>
      </c>
    </row>
    <row r="13" customFormat="false" ht="15" hidden="false" customHeight="true" outlineLevel="0" collapsed="false">
      <c r="A13" s="18" t="str">
        <f aca="false">'Bank Inputs'!B10</f>
        <v>Deutsche Bank</v>
      </c>
      <c r="B13" s="18" t="str">
        <f aca="false">'Bank Inputs'!C10</f>
        <v>Core</v>
      </c>
      <c r="C13" s="11" t="n">
        <f aca="false">('Bank Inputs'!F10-(Assumptions!$C$7)*'Bank Inputs'!J10*('Bank Inputs'!M10))/'Bank Inputs'!E10-'Bank Inputs'!S10</f>
        <v>0.00253176905239347</v>
      </c>
      <c r="D13" s="11" t="n">
        <f aca="false">('Bank Inputs'!F10-(Assumptions!$C$7-$B$4)*'Bank Inputs'!J10*('Bank Inputs'!M10))/'Bank Inputs'!E10-'Bank Inputs'!S10</f>
        <v>0.00453969274505113</v>
      </c>
      <c r="E13" s="11" t="n">
        <f aca="false">('Bank Inputs'!F10-(Assumptions!$C$7+$B$4)*'Bank Inputs'!J10*('Bank Inputs'!M10))/'Bank Inputs'!E10-'Bank Inputs'!S10</f>
        <v>0.000523845359735806</v>
      </c>
      <c r="F13" s="11" t="n">
        <f aca="false">('Bank Inputs'!F10-(Assumptions!$C$7)*'Bank Inputs'!J10*(MAX('Bank Inputs'!M10-$D$4,0)))/'Bank Inputs'!E10-'Bank Inputs'!S10</f>
        <v>0.011347301444474</v>
      </c>
      <c r="G13" s="11" t="n">
        <f aca="false">('Bank Inputs'!F10-(Assumptions!$C$7)*'Bank Inputs'!J10*(MIN('Bank Inputs'!M10+$D$4,1)))/'Bank Inputs'!E10-'Bank Inputs'!S10</f>
        <v>-0.00628376333968707</v>
      </c>
    </row>
    <row r="14" customFormat="false" ht="15" hidden="false" customHeight="true" outlineLevel="0" collapsed="false">
      <c r="A14" s="18" t="str">
        <f aca="false">'Bank Inputs'!B11</f>
        <v>Groupe Crédit Agricole</v>
      </c>
      <c r="B14" s="18" t="str">
        <f aca="false">'Bank Inputs'!C11</f>
        <v>Core</v>
      </c>
      <c r="C14" s="11" t="n">
        <f aca="false">('Bank Inputs'!F11-(Assumptions!$C$7)*'Bank Inputs'!J11*('Bank Inputs'!M11))/'Bank Inputs'!E11-'Bank Inputs'!S11</f>
        <v>0.0362825816614996</v>
      </c>
      <c r="D14" s="11" t="n">
        <f aca="false">('Bank Inputs'!F11-(Assumptions!$C$7-$B$4)*'Bank Inputs'!J11*('Bank Inputs'!M11))/'Bank Inputs'!E11-'Bank Inputs'!S11</f>
        <v>0.039321651420218</v>
      </c>
      <c r="E14" s="11" t="n">
        <f aca="false">('Bank Inputs'!F11-(Assumptions!$C$7+$B$4)*'Bank Inputs'!J11*('Bank Inputs'!M11))/'Bank Inputs'!E11-'Bank Inputs'!S11</f>
        <v>0.0332435119027811</v>
      </c>
      <c r="F14" s="11" t="n">
        <f aca="false">('Bank Inputs'!F11-(Assumptions!$C$7)*'Bank Inputs'!J11*(MAX('Bank Inputs'!M11-$D$4,0)))/'Bank Inputs'!E11-'Bank Inputs'!S11</f>
        <v>0.0447826923305273</v>
      </c>
      <c r="G14" s="11" t="n">
        <f aca="false">('Bank Inputs'!F11-(Assumptions!$C$7)*'Bank Inputs'!J11*(MIN('Bank Inputs'!M11+$D$4,1)))/'Bank Inputs'!E11-'Bank Inputs'!S11</f>
        <v>0.0277824709924719</v>
      </c>
    </row>
    <row r="15" customFormat="false" ht="15" hidden="false" customHeight="true" outlineLevel="0" collapsed="false">
      <c r="A15" s="18" t="str">
        <f aca="false">'Bank Inputs'!B12</f>
        <v>HSBC Continental Europe</v>
      </c>
      <c r="B15" s="18" t="str">
        <f aca="false">'Bank Inputs'!C12</f>
        <v>Core</v>
      </c>
      <c r="C15" s="11" t="n">
        <f aca="false">('Bank Inputs'!F12-(Assumptions!$C$7)*'Bank Inputs'!J12*('Bank Inputs'!M12))/'Bank Inputs'!E12-'Bank Inputs'!S12</f>
        <v>0.0432788293410459</v>
      </c>
      <c r="D15" s="11" t="n">
        <f aca="false">('Bank Inputs'!F12-(Assumptions!$C$7-$B$4)*'Bank Inputs'!J12*('Bank Inputs'!M12))/'Bank Inputs'!E12-'Bank Inputs'!S12</f>
        <v>0.0443362142896629</v>
      </c>
      <c r="E15" s="11" t="n">
        <f aca="false">('Bank Inputs'!F12-(Assumptions!$C$7+$B$4)*'Bank Inputs'!J12*('Bank Inputs'!M12))/'Bank Inputs'!E12-'Bank Inputs'!S12</f>
        <v>0.042221444392429</v>
      </c>
      <c r="F15" s="11" t="n">
        <f aca="false">('Bank Inputs'!F12-(Assumptions!$C$7)*'Bank Inputs'!J12*(MAX('Bank Inputs'!M12-$D$4,0)))/'Bank Inputs'!E12-'Bank Inputs'!S12</f>
        <v>0.0487758540025996</v>
      </c>
      <c r="G15" s="11" t="n">
        <f aca="false">('Bank Inputs'!F12-(Assumptions!$C$7)*'Bank Inputs'!J12*(MIN('Bank Inputs'!M12+$D$4,1)))/'Bank Inputs'!E12-'Bank Inputs'!S12</f>
        <v>0.0377818046794923</v>
      </c>
    </row>
    <row r="16" customFormat="false" ht="15" hidden="false" customHeight="true" outlineLevel="0" collapsed="false">
      <c r="A16" s="18" t="str">
        <f aca="false">'Bank Inputs'!B13</f>
        <v>ING Groep</v>
      </c>
      <c r="B16" s="18" t="str">
        <f aca="false">'Bank Inputs'!C13</f>
        <v>Core</v>
      </c>
      <c r="C16" s="11" t="n">
        <f aca="false">('Bank Inputs'!F13-(Assumptions!$C$7)*'Bank Inputs'!J13*('Bank Inputs'!M13))/'Bank Inputs'!E13-'Bank Inputs'!S13</f>
        <v>-0.0103937915677897</v>
      </c>
      <c r="D16" s="11" t="n">
        <f aca="false">('Bank Inputs'!F13-(Assumptions!$C$7-$B$4)*'Bank Inputs'!J13*('Bank Inputs'!M13))/'Bank Inputs'!E13-'Bank Inputs'!S13</f>
        <v>-0.00788308401777504</v>
      </c>
      <c r="E16" s="11" t="n">
        <f aca="false">('Bank Inputs'!F13-(Assumptions!$C$7+$B$4)*'Bank Inputs'!J13*('Bank Inputs'!M13))/'Bank Inputs'!E13-'Bank Inputs'!S13</f>
        <v>-0.0129044991178043</v>
      </c>
      <c r="F16" s="11" t="n">
        <f aca="false">('Bank Inputs'!F13-(Assumptions!$C$7)*'Bank Inputs'!J13*(MAX('Bank Inputs'!M13-$D$4,0)))/'Bank Inputs'!E13-'Bank Inputs'!S13</f>
        <v>-0.000282703924932765</v>
      </c>
      <c r="G16" s="11" t="n">
        <f aca="false">('Bank Inputs'!F13-(Assumptions!$C$7)*'Bank Inputs'!J13*(MIN('Bank Inputs'!M13+$D$4,1)))/'Bank Inputs'!E13-'Bank Inputs'!S13</f>
        <v>-0.0205048792106466</v>
      </c>
    </row>
    <row r="17" customFormat="false" ht="15" hidden="false" customHeight="true" outlineLevel="0" collapsed="false">
      <c r="A17" s="18" t="str">
        <f aca="false">'Bank Inputs'!B14</f>
        <v>Morgan Stanley Europe Holding SE</v>
      </c>
      <c r="B17" s="18" t="str">
        <f aca="false">'Bank Inputs'!C14</f>
        <v>Core</v>
      </c>
      <c r="C17" s="11" t="n">
        <f aca="false">('Bank Inputs'!F14-(Assumptions!$C$7)*'Bank Inputs'!J14*('Bank Inputs'!M14))/'Bank Inputs'!E14-'Bank Inputs'!S14</f>
        <v>0.0683347542563567</v>
      </c>
      <c r="D17" s="11" t="n">
        <f aca="false">('Bank Inputs'!F14-(Assumptions!$C$7-$B$4)*'Bank Inputs'!J14*('Bank Inputs'!M14))/'Bank Inputs'!E14-'Bank Inputs'!S14</f>
        <v>0.0695097383899131</v>
      </c>
      <c r="E17" s="11" t="n">
        <f aca="false">('Bank Inputs'!F14-(Assumptions!$C$7+$B$4)*'Bank Inputs'!J14*('Bank Inputs'!M14))/'Bank Inputs'!E14-'Bank Inputs'!S14</f>
        <v>0.0671597701228004</v>
      </c>
      <c r="F17" s="11" t="n">
        <f aca="false">('Bank Inputs'!F14-(Assumptions!$C$7)*'Bank Inputs'!J14*(MAX('Bank Inputs'!M14-$D$4,0)))/'Bank Inputs'!E14-'Bank Inputs'!S14</f>
        <v>0.0727645920215219</v>
      </c>
      <c r="G17" s="11" t="n">
        <f aca="false">('Bank Inputs'!F14-(Assumptions!$C$7)*'Bank Inputs'!J14*(MIN('Bank Inputs'!M14+$D$4,1)))/'Bank Inputs'!E14-'Bank Inputs'!S14</f>
        <v>0.0639049164911915</v>
      </c>
    </row>
    <row r="18" customFormat="false" ht="15" hidden="false" customHeight="true" outlineLevel="0" collapsed="false">
      <c r="A18" s="18" t="str">
        <f aca="false">'Bank Inputs'!B15</f>
        <v>Revolut Holdings Europe</v>
      </c>
      <c r="B18" s="18" t="str">
        <f aca="false">'Bank Inputs'!C15</f>
        <v>Reference case</v>
      </c>
      <c r="C18" s="11" t="n">
        <f aca="false">('Bank Inputs'!F15-(Assumptions!$C$7)*'Bank Inputs'!J15*('Bank Inputs'!M15))/'Bank Inputs'!E15-'Bank Inputs'!S15</f>
        <v>0.156811913919835</v>
      </c>
      <c r="D18" s="11" t="n">
        <f aca="false">('Bank Inputs'!F15-(Assumptions!$C$7-$B$4)*'Bank Inputs'!J15*('Bank Inputs'!M15))/'Bank Inputs'!E15-'Bank Inputs'!S15</f>
        <v>0.160962599135407</v>
      </c>
      <c r="E18" s="11" t="n">
        <f aca="false">('Bank Inputs'!F15-(Assumptions!$C$7+$B$4)*'Bank Inputs'!J15*('Bank Inputs'!M15))/'Bank Inputs'!E15-'Bank Inputs'!S15</f>
        <v>0.152661228704262</v>
      </c>
      <c r="F18" s="11" t="n">
        <f aca="false">('Bank Inputs'!F15-(Assumptions!$C$7)*'Bank Inputs'!J15*(MAX('Bank Inputs'!M15-$D$4,0)))/'Bank Inputs'!E15-'Bank Inputs'!S15</f>
        <v>0.163854906623542</v>
      </c>
      <c r="G18" s="11" t="n">
        <f aca="false">('Bank Inputs'!F15-(Assumptions!$C$7)*'Bank Inputs'!J15*(MIN('Bank Inputs'!M15+$D$4,1)))/'Bank Inputs'!E15-'Bank Inputs'!S15</f>
        <v>0.149768921216128</v>
      </c>
    </row>
    <row r="20" customFormat="false" ht="15" hidden="false" customHeight="true" outlineLevel="0" collapsed="false">
      <c r="A20" s="4" t="s">
        <v>221</v>
      </c>
      <c r="C20" s="11" t="n">
        <f aca="false">MEDIAN(C8:C17)</f>
        <v>0.00544935230099812</v>
      </c>
      <c r="D20" s="11" t="n">
        <f aca="false">MEDIAN(D8:D17)</f>
        <v>0.00781789692897453</v>
      </c>
      <c r="E20" s="11" t="n">
        <f aca="false">MEDIAN(E8:E17)</f>
        <v>0.00308080767302171</v>
      </c>
      <c r="F20" s="11" t="n">
        <f aca="false">MEDIAN(F8:F17)</f>
        <v>0.0131844645154378</v>
      </c>
      <c r="G20" s="11" t="n">
        <f aca="false">MEDIAN(G8:G17)</f>
        <v>-0.0022857599134416</v>
      </c>
    </row>
    <row r="21" customFormat="false" ht="15" hidden="false" customHeight="true" outlineLevel="0" collapsed="false">
      <c r="A21" s="4" t="s">
        <v>223</v>
      </c>
      <c r="C21" s="10" t="n">
        <f aca="false">COUNTIF(C8:C17,"&lt;0")</f>
        <v>3</v>
      </c>
      <c r="D21" s="10" t="n">
        <f aca="false">COUNTIF(D8:D17,"&lt;0")</f>
        <v>3</v>
      </c>
      <c r="E21" s="10" t="n">
        <f aca="false">COUNTIF(E8:E17,"&lt;0")</f>
        <v>3</v>
      </c>
      <c r="F21" s="10" t="n">
        <f aca="false">COUNTIF(F8:F17,"&lt;0")</f>
        <v>2</v>
      </c>
      <c r="G21" s="10" t="n">
        <f aca="false">COUNTIF(G8:G17,"&lt;0")</f>
        <v>6</v>
      </c>
    </row>
    <row r="23" customFormat="false" ht="15" hidden="false" customHeight="true" outlineLevel="0" collapsed="false">
      <c r="A23" s="3" t="s">
        <v>238</v>
      </c>
    </row>
    <row r="24" customFormat="false" ht="15" hidden="false" customHeight="true" outlineLevel="0" collapsed="false">
      <c r="A24" s="6" t="s">
        <v>107</v>
      </c>
      <c r="B24" s="6" t="s">
        <v>165</v>
      </c>
      <c r="C24" s="6" t="s">
        <v>233</v>
      </c>
      <c r="D24" s="6" t="s">
        <v>239</v>
      </c>
      <c r="E24" s="6" t="s">
        <v>240</v>
      </c>
    </row>
    <row r="25" customFormat="false" ht="15" hidden="false" customHeight="true" outlineLevel="0" collapsed="false">
      <c r="A25" s="18" t="str">
        <f aca="false">'Bank Inputs'!B5</f>
        <v>BAWAG Group</v>
      </c>
      <c r="B25" s="18" t="str">
        <f aca="false">'Bank Inputs'!C5</f>
        <v>Core</v>
      </c>
      <c r="C25" s="11" t="n">
        <f aca="false">('Bank Inputs'!F5+(('Bank Inputs'!P5*Assumptions!$D$29-(Assumptions!$C$7)*'Bank Inputs'!J5*('Bank Inputs'!M5))-MAX(('Bank Inputs'!P5*Assumptions!$D$29-(Assumptions!$C$7)*'Bank Inputs'!J5*('Bank Inputs'!M5)),0)*Assumptions!$C$14)-MAX((('Bank Inputs'!P5*Assumptions!$D$29-(Assumptions!$C$7)*'Bank Inputs'!J5*('Bank Inputs'!M5))-MAX(('Bank Inputs'!P5*Assumptions!$D$29-(Assumptions!$C$7)*'Bank Inputs'!J5*('Bank Inputs'!M5)),0)*Assumptions!$C$14),0)*(Assumptions!$C$16))/'Bank Inputs'!E5-'Bank Inputs'!S5</f>
        <v>0.0729721082723507</v>
      </c>
      <c r="D25" s="11" t="n">
        <f aca="false">('Bank Inputs'!F5+(('Bank Inputs'!P5*Assumptions!$D$29-(Assumptions!$C$7)*'Bank Inputs'!J5*('Bank Inputs'!M5))-MAX(('Bank Inputs'!P5*Assumptions!$D$29-(Assumptions!$C$7)*'Bank Inputs'!J5*('Bank Inputs'!M5)),0)*Assumptions!$C$14)-MAX((('Bank Inputs'!P5*Assumptions!$D$29-(Assumptions!$C$7)*'Bank Inputs'!J5*('Bank Inputs'!M5))-MAX(('Bank Inputs'!P5*Assumptions!$D$29-(Assumptions!$C$7)*'Bank Inputs'!J5*('Bank Inputs'!M5)),0)*Assumptions!$C$14),0)*(0))/'Bank Inputs'!E5-'Bank Inputs'!S5</f>
        <v>0.0947383120926204</v>
      </c>
      <c r="E25" s="11" t="n">
        <f aca="false">('Bank Inputs'!F5+(('Bank Inputs'!P5*Assumptions!$D$29-(Assumptions!$C$7)*'Bank Inputs'!J5*('Bank Inputs'!M5))-MAX(('Bank Inputs'!P5*Assumptions!$D$29-(Assumptions!$C$7)*'Bank Inputs'!J5*('Bank Inputs'!M5)),0)*Assumptions!$C$14)-MAX((('Bank Inputs'!P5*Assumptions!$D$29-(Assumptions!$C$7)*'Bank Inputs'!J5*('Bank Inputs'!M5))-MAX(('Bank Inputs'!P5*Assumptions!$D$29-(Assumptions!$C$7)*'Bank Inputs'!J5*('Bank Inputs'!M5)),0)*Assumptions!$C$14),0)*($F$4))/'Bank Inputs'!E5-'Bank Inputs'!S5</f>
        <v>0.0584613057255042</v>
      </c>
    </row>
    <row r="26" customFormat="false" ht="15" hidden="false" customHeight="true" outlineLevel="0" collapsed="false">
      <c r="A26" s="18" t="str">
        <f aca="false">'Bank Inputs'!B6</f>
        <v>BNP Paribas</v>
      </c>
      <c r="B26" s="18" t="str">
        <f aca="false">'Bank Inputs'!C6</f>
        <v>Core</v>
      </c>
      <c r="C26" s="11" t="n">
        <f aca="false">('Bank Inputs'!F6+(('Bank Inputs'!P6*Assumptions!$D$29-(Assumptions!$C$7)*'Bank Inputs'!J6*('Bank Inputs'!M6))-MAX(('Bank Inputs'!P6*Assumptions!$D$29-(Assumptions!$C$7)*'Bank Inputs'!J6*('Bank Inputs'!M6)),0)*Assumptions!$C$14)-MAX((('Bank Inputs'!P6*Assumptions!$D$29-(Assumptions!$C$7)*'Bank Inputs'!J6*('Bank Inputs'!M6))-MAX(('Bank Inputs'!P6*Assumptions!$D$29-(Assumptions!$C$7)*'Bank Inputs'!J6*('Bank Inputs'!M6)),0)*Assumptions!$C$14),0)*(Assumptions!$C$16))/'Bank Inputs'!E6-'Bank Inputs'!S6</f>
        <v>0.0420167823054705</v>
      </c>
      <c r="D26" s="11" t="n">
        <f aca="false">('Bank Inputs'!F6+(('Bank Inputs'!P6*Assumptions!$D$29-(Assumptions!$C$7)*'Bank Inputs'!J6*('Bank Inputs'!M6))-MAX(('Bank Inputs'!P6*Assumptions!$D$29-(Assumptions!$C$7)*'Bank Inputs'!J6*('Bank Inputs'!M6)),0)*Assumptions!$C$14)-MAX((('Bank Inputs'!P6*Assumptions!$D$29-(Assumptions!$C$7)*'Bank Inputs'!J6*('Bank Inputs'!M6))-MAX(('Bank Inputs'!P6*Assumptions!$D$29-(Assumptions!$C$7)*'Bank Inputs'!J6*('Bank Inputs'!M6)),0)*Assumptions!$C$14),0)*(0))/'Bank Inputs'!E6-'Bank Inputs'!S6</f>
        <v>0.0507294565813244</v>
      </c>
      <c r="E26" s="11" t="n">
        <f aca="false">('Bank Inputs'!F6+(('Bank Inputs'!P6*Assumptions!$D$29-(Assumptions!$C$7)*'Bank Inputs'!J6*('Bank Inputs'!M6))-MAX(('Bank Inputs'!P6*Assumptions!$D$29-(Assumptions!$C$7)*'Bank Inputs'!J6*('Bank Inputs'!M6)),0)*Assumptions!$C$14)-MAX((('Bank Inputs'!P6*Assumptions!$D$29-(Assumptions!$C$7)*'Bank Inputs'!J6*('Bank Inputs'!M6))-MAX(('Bank Inputs'!P6*Assumptions!$D$29-(Assumptions!$C$7)*'Bank Inputs'!J6*('Bank Inputs'!M6)),0)*Assumptions!$C$14),0)*($F$4))/'Bank Inputs'!E6-'Bank Inputs'!S6</f>
        <v>0.0362083327882345</v>
      </c>
    </row>
    <row r="27" customFormat="false" ht="15" hidden="false" customHeight="true" outlineLevel="0" collapsed="false">
      <c r="A27" s="18" t="str">
        <f aca="false">'Bank Inputs'!B7</f>
        <v>Banco Santander</v>
      </c>
      <c r="B27" s="18" t="str">
        <f aca="false">'Bank Inputs'!C7</f>
        <v>Core</v>
      </c>
      <c r="C27" s="11" t="n">
        <f aca="false">('Bank Inputs'!F7+(('Bank Inputs'!P7*Assumptions!$D$29-(Assumptions!$C$7)*'Bank Inputs'!J7*('Bank Inputs'!M7))-MAX(('Bank Inputs'!P7*Assumptions!$D$29-(Assumptions!$C$7)*'Bank Inputs'!J7*('Bank Inputs'!M7)),0)*Assumptions!$C$14)-MAX((('Bank Inputs'!P7*Assumptions!$D$29-(Assumptions!$C$7)*'Bank Inputs'!J7*('Bank Inputs'!M7))-MAX(('Bank Inputs'!P7*Assumptions!$D$29-(Assumptions!$C$7)*'Bank Inputs'!J7*('Bank Inputs'!M7)),0)*Assumptions!$C$14),0)*(Assumptions!$C$16))/'Bank Inputs'!E7-'Bank Inputs'!S7</f>
        <v>0.0621900935088789</v>
      </c>
      <c r="D27" s="11" t="n">
        <f aca="false">('Bank Inputs'!F7+(('Bank Inputs'!P7*Assumptions!$D$29-(Assumptions!$C$7)*'Bank Inputs'!J7*('Bank Inputs'!M7))-MAX(('Bank Inputs'!P7*Assumptions!$D$29-(Assumptions!$C$7)*'Bank Inputs'!J7*('Bank Inputs'!M7)),0)*Assumptions!$C$14)-MAX((('Bank Inputs'!P7*Assumptions!$D$29-(Assumptions!$C$7)*'Bank Inputs'!J7*('Bank Inputs'!M7))-MAX(('Bank Inputs'!P7*Assumptions!$D$29-(Assumptions!$C$7)*'Bank Inputs'!J7*('Bank Inputs'!M7)),0)*Assumptions!$C$14),0)*(0))/'Bank Inputs'!E7-'Bank Inputs'!S7</f>
        <v>0.07463637210478</v>
      </c>
      <c r="E27" s="11" t="n">
        <f aca="false">('Bank Inputs'!F7+(('Bank Inputs'!P7*Assumptions!$D$29-(Assumptions!$C$7)*'Bank Inputs'!J7*('Bank Inputs'!M7))-MAX(('Bank Inputs'!P7*Assumptions!$D$29-(Assumptions!$C$7)*'Bank Inputs'!J7*('Bank Inputs'!M7)),0)*Assumptions!$C$14)-MAX((('Bank Inputs'!P7*Assumptions!$D$29-(Assumptions!$C$7)*'Bank Inputs'!J7*('Bank Inputs'!M7))-MAX(('Bank Inputs'!P7*Assumptions!$D$29-(Assumptions!$C$7)*'Bank Inputs'!J7*('Bank Inputs'!M7)),0)*Assumptions!$C$14),0)*($F$4))/'Bank Inputs'!E7-'Bank Inputs'!S7</f>
        <v>0.0538925744449448</v>
      </c>
    </row>
    <row r="28" customFormat="false" ht="15" hidden="false" customHeight="true" outlineLevel="0" collapsed="false">
      <c r="A28" s="18" t="str">
        <f aca="false">'Bank Inputs'!B8</f>
        <v>CEC Bank</v>
      </c>
      <c r="B28" s="18" t="str">
        <f aca="false">'Bank Inputs'!C8</f>
        <v>Core</v>
      </c>
      <c r="C28" s="11" t="n">
        <f aca="false">('Bank Inputs'!F8+(('Bank Inputs'!P8*Assumptions!$D$29-(Assumptions!$C$7)*'Bank Inputs'!J8*('Bank Inputs'!M8))-MAX(('Bank Inputs'!P8*Assumptions!$D$29-(Assumptions!$C$7)*'Bank Inputs'!J8*('Bank Inputs'!M8)),0)*Assumptions!$C$14)-MAX((('Bank Inputs'!P8*Assumptions!$D$29-(Assumptions!$C$7)*'Bank Inputs'!J8*('Bank Inputs'!M8))-MAX(('Bank Inputs'!P8*Assumptions!$D$29-(Assumptions!$C$7)*'Bank Inputs'!J8*('Bank Inputs'!M8)),0)*Assumptions!$C$14),0)*(Assumptions!$C$16))/'Bank Inputs'!E8-'Bank Inputs'!S8</f>
        <v>0.14200379514334</v>
      </c>
      <c r="D28" s="11" t="n">
        <f aca="false">('Bank Inputs'!F8+(('Bank Inputs'!P8*Assumptions!$D$29-(Assumptions!$C$7)*'Bank Inputs'!J8*('Bank Inputs'!M8))-MAX(('Bank Inputs'!P8*Assumptions!$D$29-(Assumptions!$C$7)*'Bank Inputs'!J8*('Bank Inputs'!M8)),0)*Assumptions!$C$14)-MAX((('Bank Inputs'!P8*Assumptions!$D$29-(Assumptions!$C$7)*'Bank Inputs'!J8*('Bank Inputs'!M8))-MAX(('Bank Inputs'!P8*Assumptions!$D$29-(Assumptions!$C$7)*'Bank Inputs'!J8*('Bank Inputs'!M8)),0)*Assumptions!$C$14),0)*(0))/'Bank Inputs'!E8-'Bank Inputs'!S8</f>
        <v>0.152424517645398</v>
      </c>
      <c r="E28" s="11" t="n">
        <f aca="false">('Bank Inputs'!F8+(('Bank Inputs'!P8*Assumptions!$D$29-(Assumptions!$C$7)*'Bank Inputs'!J8*('Bank Inputs'!M8))-MAX(('Bank Inputs'!P8*Assumptions!$D$29-(Assumptions!$C$7)*'Bank Inputs'!J8*('Bank Inputs'!M8)),0)*Assumptions!$C$14)-MAX((('Bank Inputs'!P8*Assumptions!$D$29-(Assumptions!$C$7)*'Bank Inputs'!J8*('Bank Inputs'!M8))-MAX(('Bank Inputs'!P8*Assumptions!$D$29-(Assumptions!$C$7)*'Bank Inputs'!J8*('Bank Inputs'!M8)),0)*Assumptions!$C$14),0)*($F$4))/'Bank Inputs'!E8-'Bank Inputs'!S8</f>
        <v>0.135056646808634</v>
      </c>
    </row>
    <row r="29" customFormat="false" ht="15" hidden="false" customHeight="true" outlineLevel="0" collapsed="false">
      <c r="A29" s="18" t="str">
        <f aca="false">'Bank Inputs'!B9</f>
        <v>Commerzbank</v>
      </c>
      <c r="B29" s="18" t="str">
        <f aca="false">'Bank Inputs'!C9</f>
        <v>Core</v>
      </c>
      <c r="C29" s="11" t="n">
        <f aca="false">('Bank Inputs'!F9+(('Bank Inputs'!P9*Assumptions!$D$29-(Assumptions!$C$7)*'Bank Inputs'!J9*('Bank Inputs'!M9))-MAX(('Bank Inputs'!P9*Assumptions!$D$29-(Assumptions!$C$7)*'Bank Inputs'!J9*('Bank Inputs'!M9)),0)*Assumptions!$C$14)-MAX((('Bank Inputs'!P9*Assumptions!$D$29-(Assumptions!$C$7)*'Bank Inputs'!J9*('Bank Inputs'!M9))-MAX(('Bank Inputs'!P9*Assumptions!$D$29-(Assumptions!$C$7)*'Bank Inputs'!J9*('Bank Inputs'!M9)),0)*Assumptions!$C$14),0)*(Assumptions!$C$16))/'Bank Inputs'!E9-'Bank Inputs'!S9</f>
        <v>0.0554659629367067</v>
      </c>
      <c r="D29" s="11" t="n">
        <f aca="false">('Bank Inputs'!F9+(('Bank Inputs'!P9*Assumptions!$D$29-(Assumptions!$C$7)*'Bank Inputs'!J9*('Bank Inputs'!M9))-MAX(('Bank Inputs'!P9*Assumptions!$D$29-(Assumptions!$C$7)*'Bank Inputs'!J9*('Bank Inputs'!M9)),0)*Assumptions!$C$14)-MAX((('Bank Inputs'!P9*Assumptions!$D$29-(Assumptions!$C$7)*'Bank Inputs'!J9*('Bank Inputs'!M9))-MAX(('Bank Inputs'!P9*Assumptions!$D$29-(Assumptions!$C$7)*'Bank Inputs'!J9*('Bank Inputs'!M9)),0)*Assumptions!$C$14),0)*(0))/'Bank Inputs'!E9-'Bank Inputs'!S9</f>
        <v>0.0610270266317632</v>
      </c>
      <c r="E29" s="11" t="n">
        <f aca="false">('Bank Inputs'!F9+(('Bank Inputs'!P9*Assumptions!$D$29-(Assumptions!$C$7)*'Bank Inputs'!J9*('Bank Inputs'!M9))-MAX(('Bank Inputs'!P9*Assumptions!$D$29-(Assumptions!$C$7)*'Bank Inputs'!J9*('Bank Inputs'!M9)),0)*Assumptions!$C$14)-MAX((('Bank Inputs'!P9*Assumptions!$D$29-(Assumptions!$C$7)*'Bank Inputs'!J9*('Bank Inputs'!M9))-MAX(('Bank Inputs'!P9*Assumptions!$D$29-(Assumptions!$C$7)*'Bank Inputs'!J9*('Bank Inputs'!M9)),0)*Assumptions!$C$14),0)*($F$4))/'Bank Inputs'!E9-'Bank Inputs'!S9</f>
        <v>0.0517585871400024</v>
      </c>
    </row>
    <row r="30" customFormat="false" ht="15" hidden="false" customHeight="true" outlineLevel="0" collapsed="false">
      <c r="A30" s="18" t="str">
        <f aca="false">'Bank Inputs'!B10</f>
        <v>Deutsche Bank</v>
      </c>
      <c r="B30" s="18" t="str">
        <f aca="false">'Bank Inputs'!C10</f>
        <v>Core</v>
      </c>
      <c r="C30" s="11" t="n">
        <f aca="false">('Bank Inputs'!F10+(('Bank Inputs'!P10*Assumptions!$D$29-(Assumptions!$C$7)*'Bank Inputs'!J10*('Bank Inputs'!M10))-MAX(('Bank Inputs'!P10*Assumptions!$D$29-(Assumptions!$C$7)*'Bank Inputs'!J10*('Bank Inputs'!M10)),0)*Assumptions!$C$14)-MAX((('Bank Inputs'!P10*Assumptions!$D$29-(Assumptions!$C$7)*'Bank Inputs'!J10*('Bank Inputs'!M10))-MAX(('Bank Inputs'!P10*Assumptions!$D$29-(Assumptions!$C$7)*'Bank Inputs'!J10*('Bank Inputs'!M10)),0)*Assumptions!$C$14),0)*(Assumptions!$C$16))/'Bank Inputs'!E10-'Bank Inputs'!S10</f>
        <v>0.0617611226361477</v>
      </c>
      <c r="D30" s="11" t="n">
        <f aca="false">('Bank Inputs'!F10+(('Bank Inputs'!P10*Assumptions!$D$29-(Assumptions!$C$7)*'Bank Inputs'!J10*('Bank Inputs'!M10))-MAX(('Bank Inputs'!P10*Assumptions!$D$29-(Assumptions!$C$7)*'Bank Inputs'!J10*('Bank Inputs'!M10)),0)*Assumptions!$C$14)-MAX((('Bank Inputs'!P10*Assumptions!$D$29-(Assumptions!$C$7)*'Bank Inputs'!J10*('Bank Inputs'!M10))-MAX(('Bank Inputs'!P10*Assumptions!$D$29-(Assumptions!$C$7)*'Bank Inputs'!J10*('Bank Inputs'!M10)),0)*Assumptions!$C$14),0)*(0))/'Bank Inputs'!E10-'Bank Inputs'!S10</f>
        <v>0.0753844354007618</v>
      </c>
      <c r="E30" s="11" t="n">
        <f aca="false">('Bank Inputs'!F10+(('Bank Inputs'!P10*Assumptions!$D$29-(Assumptions!$C$7)*'Bank Inputs'!J10*('Bank Inputs'!M10))-MAX(('Bank Inputs'!P10*Assumptions!$D$29-(Assumptions!$C$7)*'Bank Inputs'!J10*('Bank Inputs'!M10)),0)*Assumptions!$C$14)-MAX((('Bank Inputs'!P10*Assumptions!$D$29-(Assumptions!$C$7)*'Bank Inputs'!J10*('Bank Inputs'!M10))-MAX(('Bank Inputs'!P10*Assumptions!$D$29-(Assumptions!$C$7)*'Bank Inputs'!J10*('Bank Inputs'!M10)),0)*Assumptions!$C$14),0)*($F$4))/'Bank Inputs'!E10-'Bank Inputs'!S10</f>
        <v>0.052678914126405</v>
      </c>
    </row>
    <row r="31" customFormat="false" ht="15" hidden="false" customHeight="true" outlineLevel="0" collapsed="false">
      <c r="A31" s="18" t="str">
        <f aca="false">'Bank Inputs'!B11</f>
        <v>Groupe Crédit Agricole</v>
      </c>
      <c r="B31" s="18" t="str">
        <f aca="false">'Bank Inputs'!C11</f>
        <v>Core</v>
      </c>
      <c r="C31" s="11" t="n">
        <f aca="false">('Bank Inputs'!F11+(('Bank Inputs'!P11*Assumptions!$D$29-(Assumptions!$C$7)*'Bank Inputs'!J11*('Bank Inputs'!M11))-MAX(('Bank Inputs'!P11*Assumptions!$D$29-(Assumptions!$C$7)*'Bank Inputs'!J11*('Bank Inputs'!M11)),0)*Assumptions!$C$14)-MAX((('Bank Inputs'!P11*Assumptions!$D$29-(Assumptions!$C$7)*'Bank Inputs'!J11*('Bank Inputs'!M11))-MAX(('Bank Inputs'!P11*Assumptions!$D$29-(Assumptions!$C$7)*'Bank Inputs'!J11*('Bank Inputs'!M11)),0)*Assumptions!$C$14),0)*(Assumptions!$C$16))/'Bank Inputs'!E11-'Bank Inputs'!S11</f>
        <v>0.0876652822702418</v>
      </c>
      <c r="D31" s="11" t="n">
        <f aca="false">('Bank Inputs'!F11+(('Bank Inputs'!P11*Assumptions!$D$29-(Assumptions!$C$7)*'Bank Inputs'!J11*('Bank Inputs'!M11))-MAX(('Bank Inputs'!P11*Assumptions!$D$29-(Assumptions!$C$7)*'Bank Inputs'!J11*('Bank Inputs'!M11)),0)*Assumptions!$C$14)-MAX((('Bank Inputs'!P11*Assumptions!$D$29-(Assumptions!$C$7)*'Bank Inputs'!J11*('Bank Inputs'!M11))-MAX(('Bank Inputs'!P11*Assumptions!$D$29-(Assumptions!$C$7)*'Bank Inputs'!J11*('Bank Inputs'!M11)),0)*Assumptions!$C$14),0)*(0))/'Bank Inputs'!E11-'Bank Inputs'!S11</f>
        <v>0.0918861739443517</v>
      </c>
      <c r="E31" s="11" t="n">
        <f aca="false">('Bank Inputs'!F11+(('Bank Inputs'!P11*Assumptions!$D$29-(Assumptions!$C$7)*'Bank Inputs'!J11*('Bank Inputs'!M11))-MAX(('Bank Inputs'!P11*Assumptions!$D$29-(Assumptions!$C$7)*'Bank Inputs'!J11*('Bank Inputs'!M11)),0)*Assumptions!$C$14)-MAX((('Bank Inputs'!P11*Assumptions!$D$29-(Assumptions!$C$7)*'Bank Inputs'!J11*('Bank Inputs'!M11))-MAX(('Bank Inputs'!P11*Assumptions!$D$29-(Assumptions!$C$7)*'Bank Inputs'!J11*('Bank Inputs'!M11)),0)*Assumptions!$C$14),0)*($F$4))/'Bank Inputs'!E11-'Bank Inputs'!S11</f>
        <v>0.0848513544875018</v>
      </c>
    </row>
    <row r="32" customFormat="false" ht="15" hidden="false" customHeight="true" outlineLevel="0" collapsed="false">
      <c r="A32" s="18" t="str">
        <f aca="false">'Bank Inputs'!B12</f>
        <v>HSBC Continental Europe</v>
      </c>
      <c r="B32" s="18" t="str">
        <f aca="false">'Bank Inputs'!C12</f>
        <v>Core</v>
      </c>
      <c r="C32" s="11" t="n">
        <f aca="false">('Bank Inputs'!F12+(('Bank Inputs'!P12*Assumptions!$D$29-(Assumptions!$C$7)*'Bank Inputs'!J12*('Bank Inputs'!M12))-MAX(('Bank Inputs'!P12*Assumptions!$D$29-(Assumptions!$C$7)*'Bank Inputs'!J12*('Bank Inputs'!M12)),0)*Assumptions!$C$14)-MAX((('Bank Inputs'!P12*Assumptions!$D$29-(Assumptions!$C$7)*'Bank Inputs'!J12*('Bank Inputs'!M12))-MAX(('Bank Inputs'!P12*Assumptions!$D$29-(Assumptions!$C$7)*'Bank Inputs'!J12*('Bank Inputs'!M12)),0)*Assumptions!$C$14),0)*(Assumptions!$C$16))/'Bank Inputs'!E12-'Bank Inputs'!S12</f>
        <v>0.0723053700060094</v>
      </c>
      <c r="D32" s="11" t="n">
        <f aca="false">('Bank Inputs'!F12+(('Bank Inputs'!P12*Assumptions!$D$29-(Assumptions!$C$7)*'Bank Inputs'!J12*('Bank Inputs'!M12))-MAX(('Bank Inputs'!P12*Assumptions!$D$29-(Assumptions!$C$7)*'Bank Inputs'!J12*('Bank Inputs'!M12)),0)*Assumptions!$C$14)-MAX((('Bank Inputs'!P12*Assumptions!$D$29-(Assumptions!$C$7)*'Bank Inputs'!J12*('Bank Inputs'!M12))-MAX(('Bank Inputs'!P12*Assumptions!$D$29-(Assumptions!$C$7)*'Bank Inputs'!J12*('Bank Inputs'!M12)),0)*Assumptions!$C$14),0)*(0))/'Bank Inputs'!E12-'Bank Inputs'!S12</f>
        <v>0.0785520613062374</v>
      </c>
      <c r="E32" s="11" t="n">
        <f aca="false">('Bank Inputs'!F12+(('Bank Inputs'!P12*Assumptions!$D$29-(Assumptions!$C$7)*'Bank Inputs'!J12*('Bank Inputs'!M12))-MAX(('Bank Inputs'!P12*Assumptions!$D$29-(Assumptions!$C$7)*'Bank Inputs'!J12*('Bank Inputs'!M12)),0)*Assumptions!$C$14)-MAX((('Bank Inputs'!P12*Assumptions!$D$29-(Assumptions!$C$7)*'Bank Inputs'!J12*('Bank Inputs'!M12))-MAX(('Bank Inputs'!P12*Assumptions!$D$29-(Assumptions!$C$7)*'Bank Inputs'!J12*('Bank Inputs'!M12)),0)*Assumptions!$C$14),0)*($F$4))/'Bank Inputs'!E12-'Bank Inputs'!S12</f>
        <v>0.0681409091391907</v>
      </c>
    </row>
    <row r="33" customFormat="false" ht="15" hidden="false" customHeight="true" outlineLevel="0" collapsed="false">
      <c r="A33" s="18" t="str">
        <f aca="false">'Bank Inputs'!B13</f>
        <v>ING Groep</v>
      </c>
      <c r="B33" s="18" t="str">
        <f aca="false">'Bank Inputs'!C13</f>
        <v>Core</v>
      </c>
      <c r="C33" s="11" t="n">
        <f aca="false">('Bank Inputs'!F13+(('Bank Inputs'!P13*Assumptions!$D$29-(Assumptions!$C$7)*'Bank Inputs'!J13*('Bank Inputs'!M13))-MAX(('Bank Inputs'!P13*Assumptions!$D$29-(Assumptions!$C$7)*'Bank Inputs'!J13*('Bank Inputs'!M13)),0)*Assumptions!$C$14)-MAX((('Bank Inputs'!P13*Assumptions!$D$29-(Assumptions!$C$7)*'Bank Inputs'!J13*('Bank Inputs'!M13))-MAX(('Bank Inputs'!P13*Assumptions!$D$29-(Assumptions!$C$7)*'Bank Inputs'!J13*('Bank Inputs'!M13)),0)*Assumptions!$C$14),0)*(Assumptions!$C$16))/'Bank Inputs'!E13-'Bank Inputs'!S13</f>
        <v>0.0464428600528849</v>
      </c>
      <c r="D33" s="11" t="n">
        <f aca="false">('Bank Inputs'!F13+(('Bank Inputs'!P13*Assumptions!$D$29-(Assumptions!$C$7)*'Bank Inputs'!J13*('Bank Inputs'!M13))-MAX(('Bank Inputs'!P13*Assumptions!$D$29-(Assumptions!$C$7)*'Bank Inputs'!J13*('Bank Inputs'!M13)),0)*Assumptions!$C$14)-MAX((('Bank Inputs'!P13*Assumptions!$D$29-(Assumptions!$C$7)*'Bank Inputs'!J13*('Bank Inputs'!M13))-MAX(('Bank Inputs'!P13*Assumptions!$D$29-(Assumptions!$C$7)*'Bank Inputs'!J13*('Bank Inputs'!M13)),0)*Assumptions!$C$14),0)*(0))/'Bank Inputs'!E13-'Bank Inputs'!S13</f>
        <v>0.0560958522402312</v>
      </c>
      <c r="E33" s="11" t="n">
        <f aca="false">('Bank Inputs'!F13+(('Bank Inputs'!P13*Assumptions!$D$29-(Assumptions!$C$7)*'Bank Inputs'!J13*('Bank Inputs'!M13))-MAX(('Bank Inputs'!P13*Assumptions!$D$29-(Assumptions!$C$7)*'Bank Inputs'!J13*('Bank Inputs'!M13)),0)*Assumptions!$C$14)-MAX((('Bank Inputs'!P13*Assumptions!$D$29-(Assumptions!$C$7)*'Bank Inputs'!J13*('Bank Inputs'!M13))-MAX(('Bank Inputs'!P13*Assumptions!$D$29-(Assumptions!$C$7)*'Bank Inputs'!J13*('Bank Inputs'!M13)),0)*Assumptions!$C$14),0)*($F$4))/'Bank Inputs'!E13-'Bank Inputs'!S13</f>
        <v>0.0400075319279875</v>
      </c>
    </row>
    <row r="34" customFormat="false" ht="15" hidden="false" customHeight="true" outlineLevel="0" collapsed="false">
      <c r="A34" s="18" t="str">
        <f aca="false">'Bank Inputs'!B14</f>
        <v>Morgan Stanley Europe Holding SE</v>
      </c>
      <c r="B34" s="18" t="str">
        <f aca="false">'Bank Inputs'!C14</f>
        <v>Core</v>
      </c>
      <c r="C34" s="11" t="n">
        <f aca="false">('Bank Inputs'!F14+(('Bank Inputs'!P14*Assumptions!$D$29-(Assumptions!$C$7)*'Bank Inputs'!J14*('Bank Inputs'!M14))-MAX(('Bank Inputs'!P14*Assumptions!$D$29-(Assumptions!$C$7)*'Bank Inputs'!J14*('Bank Inputs'!M14)),0)*Assumptions!$C$14)-MAX((('Bank Inputs'!P14*Assumptions!$D$29-(Assumptions!$C$7)*'Bank Inputs'!J14*('Bank Inputs'!M14))-MAX(('Bank Inputs'!P14*Assumptions!$D$29-(Assumptions!$C$7)*'Bank Inputs'!J14*('Bank Inputs'!M14)),0)*Assumptions!$C$14),0)*(Assumptions!$C$16))/'Bank Inputs'!E14-'Bank Inputs'!S14</f>
        <v>0.0991908024722788</v>
      </c>
      <c r="D34" s="11" t="n">
        <f aca="false">('Bank Inputs'!F14+(('Bank Inputs'!P14*Assumptions!$D$29-(Assumptions!$C$7)*'Bank Inputs'!J14*('Bank Inputs'!M14))-MAX(('Bank Inputs'!P14*Assumptions!$D$29-(Assumptions!$C$7)*'Bank Inputs'!J14*('Bank Inputs'!M14)),0)*Assumptions!$C$14)-MAX((('Bank Inputs'!P14*Assumptions!$D$29-(Assumptions!$C$7)*'Bank Inputs'!J14*('Bank Inputs'!M14))-MAX(('Bank Inputs'!P14*Assumptions!$D$29-(Assumptions!$C$7)*'Bank Inputs'!J14*('Bank Inputs'!M14)),0)*Assumptions!$C$14),0)*(0))/'Bank Inputs'!E14-'Bank Inputs'!S14</f>
        <v>0.10553277321113</v>
      </c>
      <c r="E34" s="11" t="n">
        <f aca="false">('Bank Inputs'!F14+(('Bank Inputs'!P14*Assumptions!$D$29-(Assumptions!$C$7)*'Bank Inputs'!J14*('Bank Inputs'!M14))-MAX(('Bank Inputs'!P14*Assumptions!$D$29-(Assumptions!$C$7)*'Bank Inputs'!J14*('Bank Inputs'!M14)),0)*Assumptions!$C$14)-MAX((('Bank Inputs'!P14*Assumptions!$D$29-(Assumptions!$C$7)*'Bank Inputs'!J14*('Bank Inputs'!M14))-MAX(('Bank Inputs'!P14*Assumptions!$D$29-(Assumptions!$C$7)*'Bank Inputs'!J14*('Bank Inputs'!M14)),0)*Assumptions!$C$14),0)*($F$4))/'Bank Inputs'!E14-'Bank Inputs'!S14</f>
        <v>0.0949628219797115</v>
      </c>
    </row>
    <row r="35" customFormat="false" ht="15" hidden="false" customHeight="true" outlineLevel="0" collapsed="false">
      <c r="A35" s="18" t="str">
        <f aca="false">'Bank Inputs'!B15</f>
        <v>Revolut Holdings Europe</v>
      </c>
      <c r="B35" s="18" t="str">
        <f aca="false">'Bank Inputs'!C15</f>
        <v>Reference case</v>
      </c>
      <c r="C35" s="11" t="n">
        <f aca="false">('Bank Inputs'!F15+(('Bank Inputs'!P15*Assumptions!$D$29-(Assumptions!$C$7)*'Bank Inputs'!J15*('Bank Inputs'!M15))-MAX(('Bank Inputs'!P15*Assumptions!$D$29-(Assumptions!$C$7)*'Bank Inputs'!J15*('Bank Inputs'!M15)),0)*Assumptions!$C$14)-MAX((('Bank Inputs'!P15*Assumptions!$D$29-(Assumptions!$C$7)*'Bank Inputs'!J15*('Bank Inputs'!M15))-MAX(('Bank Inputs'!P15*Assumptions!$D$29-(Assumptions!$C$7)*'Bank Inputs'!J15*('Bank Inputs'!M15)),0)*Assumptions!$C$14),0)*(Assumptions!$C$16))/'Bank Inputs'!E15-'Bank Inputs'!S15</f>
        <v>0.280568363802739</v>
      </c>
      <c r="D35" s="11" t="n">
        <f aca="false">('Bank Inputs'!F15+(('Bank Inputs'!P15*Assumptions!$D$29-(Assumptions!$C$7)*'Bank Inputs'!J15*('Bank Inputs'!M15))-MAX(('Bank Inputs'!P15*Assumptions!$D$29-(Assumptions!$C$7)*'Bank Inputs'!J15*('Bank Inputs'!M15)),0)*Assumptions!$C$14)-MAX((('Bank Inputs'!P15*Assumptions!$D$29-(Assumptions!$C$7)*'Bank Inputs'!J15*('Bank Inputs'!M15))-MAX(('Bank Inputs'!P15*Assumptions!$D$29-(Assumptions!$C$7)*'Bank Inputs'!J15*('Bank Inputs'!M15)),0)*Assumptions!$C$14),0)*(0))/'Bank Inputs'!E15-'Bank Inputs'!S15</f>
        <v>0.309295686061345</v>
      </c>
      <c r="E35" s="11" t="n">
        <f aca="false">('Bank Inputs'!F15+(('Bank Inputs'!P15*Assumptions!$D$29-(Assumptions!$C$7)*'Bank Inputs'!J15*('Bank Inputs'!M15))-MAX(('Bank Inputs'!P15*Assumptions!$D$29-(Assumptions!$C$7)*'Bank Inputs'!J15*('Bank Inputs'!M15)),0)*Assumptions!$C$14)-MAX((('Bank Inputs'!P15*Assumptions!$D$29-(Assumptions!$C$7)*'Bank Inputs'!J15*('Bank Inputs'!M15))-MAX(('Bank Inputs'!P15*Assumptions!$D$29-(Assumptions!$C$7)*'Bank Inputs'!J15*('Bank Inputs'!M15)),0)*Assumptions!$C$14),0)*($F$4))/'Bank Inputs'!E15-'Bank Inputs'!S15</f>
        <v>0.261416815630335</v>
      </c>
    </row>
    <row r="37" customFormat="false" ht="15" hidden="false" customHeight="true" outlineLevel="0" collapsed="false">
      <c r="A37" s="4" t="s">
        <v>221</v>
      </c>
      <c r="C37" s="11" t="n">
        <f aca="false">MEDIAN(C25:C34)</f>
        <v>0.0672477317574441</v>
      </c>
      <c r="D37" s="11" t="n">
        <f aca="false">MEDIAN(D25:D34)</f>
        <v>0.0769682483534996</v>
      </c>
      <c r="E37" s="11" t="n">
        <f aca="false">MEDIAN(E25:E34)</f>
        <v>0.0561769400852245</v>
      </c>
    </row>
    <row r="38" customFormat="false" ht="15" hidden="false" customHeight="true" outlineLevel="0" collapsed="false">
      <c r="A38" s="4" t="s">
        <v>223</v>
      </c>
      <c r="C38" s="10" t="n">
        <f aca="false">COUNTIF(C25:C34,"&lt;0")</f>
        <v>0</v>
      </c>
      <c r="D38" s="10" t="n">
        <f aca="false">COUNTIF(D25:D34,"&lt;0")</f>
        <v>0</v>
      </c>
      <c r="E38" s="10" t="n">
        <f aca="false">COUNTIF(E25:E34,"&lt;0")</f>
        <v>0</v>
      </c>
    </row>
    <row r="40" customFormat="false" ht="15" hidden="false" customHeight="true" outlineLevel="0" collapsed="false">
      <c r="A40" s="12" t="s">
        <v>241</v>
      </c>
      <c r="C40" s="10" t="n">
        <f aca="false">ROUND(SUM(C8:C18)-SUM(Summary!I5:I15),10)</f>
        <v>0</v>
      </c>
      <c r="D40" s="10" t="n">
        <f aca="false">ROUND(SUM(C25:C35)-SUM(Summary!I24:I34),10)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20"/>
  </cols>
  <sheetData>
    <row r="1" customFormat="false" ht="17.25" hidden="false" customHeight="true" outlineLevel="0" collapsed="false">
      <c r="A1" s="2" t="s">
        <v>242</v>
      </c>
    </row>
    <row r="3" customFormat="false" ht="57.75" hidden="false" customHeight="true" outlineLevel="0" collapsed="false">
      <c r="A3" s="4" t="s">
        <v>243</v>
      </c>
      <c r="B3" s="5" t="s">
        <v>244</v>
      </c>
    </row>
    <row r="4" customFormat="false" ht="57.75" hidden="false" customHeight="true" outlineLevel="0" collapsed="false">
      <c r="A4" s="4" t="s">
        <v>245</v>
      </c>
      <c r="B4" s="5" t="s">
        <v>246</v>
      </c>
    </row>
    <row r="5" customFormat="false" ht="57.75" hidden="false" customHeight="true" outlineLevel="0" collapsed="false">
      <c r="A5" s="4" t="s">
        <v>247</v>
      </c>
      <c r="B5" s="5" t="s">
        <v>248</v>
      </c>
    </row>
    <row r="6" customFormat="false" ht="57.75" hidden="false" customHeight="true" outlineLevel="0" collapsed="false">
      <c r="A6" s="4" t="s">
        <v>249</v>
      </c>
      <c r="B6" s="5" t="s">
        <v>250</v>
      </c>
    </row>
    <row r="7" customFormat="false" ht="57.75" hidden="false" customHeight="true" outlineLevel="0" collapsed="false">
      <c r="A7" s="4" t="s">
        <v>251</v>
      </c>
      <c r="B7" s="5" t="s">
        <v>252</v>
      </c>
    </row>
    <row r="8" customFormat="false" ht="57.75" hidden="false" customHeight="true" outlineLevel="0" collapsed="false">
      <c r="A8" s="4" t="s">
        <v>253</v>
      </c>
      <c r="B8" s="5" t="s">
        <v>254</v>
      </c>
    </row>
    <row r="9" customFormat="false" ht="57.75" hidden="false" customHeight="true" outlineLevel="0" collapsed="false">
      <c r="A9" s="4" t="s">
        <v>255</v>
      </c>
      <c r="B9" s="5" t="s">
        <v>256</v>
      </c>
    </row>
    <row r="10" customFormat="false" ht="57.75" hidden="false" customHeight="true" outlineLevel="0" collapsed="false">
      <c r="A10" s="4" t="s">
        <v>257</v>
      </c>
      <c r="B10" s="5" t="s">
        <v>258</v>
      </c>
    </row>
    <row r="11" customFormat="false" ht="57.75" hidden="false" customHeight="true" outlineLevel="0" collapsed="false">
      <c r="A11" s="4" t="s">
        <v>259</v>
      </c>
      <c r="B11" s="5" t="s">
        <v>260</v>
      </c>
    </row>
    <row r="12" customFormat="false" ht="57.75" hidden="false" customHeight="true" outlineLevel="0" collapsed="false">
      <c r="A12" s="4" t="s">
        <v>261</v>
      </c>
      <c r="B12" s="5" t="s">
        <v>262</v>
      </c>
    </row>
    <row r="13" customFormat="false" ht="57.75" hidden="false" customHeight="true" outlineLevel="0" collapsed="false">
      <c r="A13" s="4" t="s">
        <v>263</v>
      </c>
      <c r="B13" s="5" t="s">
        <v>264</v>
      </c>
    </row>
    <row r="14" customFormat="false" ht="57.75" hidden="false" customHeight="true" outlineLevel="0" collapsed="false">
      <c r="A14" s="4" t="s">
        <v>265</v>
      </c>
      <c r="B14" s="5"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2026-10-12T18:59:01Z</dcterms:created>
  <dc:creator>openpyxl</dc:creator>
  <dc:description/>
  <dc:language>en-US</dc:language>
  <cp:lastModifiedBy/>
  <dcterms:modified xsi:type="dcterms:W3CDTF">2026-10-13T16:45:15Z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